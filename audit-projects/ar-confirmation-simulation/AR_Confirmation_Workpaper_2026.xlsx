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c0c6d43e8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727c02bbe6d344d7"/>
    <x:sheet xmlns:r="http://schemas.openxmlformats.org/officeDocument/2006/relationships" name="AR Population" sheetId="2" r:id="R10e2cd72566a425b"/>
    <x:sheet xmlns:r="http://schemas.openxmlformats.org/officeDocument/2006/relationships" name="Sample Selection" sheetId="3" r:id="Rbe26615d70e747f7"/>
    <x:sheet xmlns:r="http://schemas.openxmlformats.org/officeDocument/2006/relationships" name="Confirmation Log" sheetId="4" r:id="Re05ca52bedc74b2b"/>
    <x:sheet xmlns:r="http://schemas.openxmlformats.org/officeDocument/2006/relationships" name="Alternative Procedures" sheetId="5" r:id="R2b85c321bfd041b2"/>
    <x:sheet xmlns:r="http://schemas.openxmlformats.org/officeDocument/2006/relationships" name="Exceptions" sheetId="6" r:id="R268e46b3f6e8474f"/>
    <x:sheet xmlns:r="http://schemas.openxmlformats.org/officeDocument/2006/relationships" name="Control Checks" sheetId="7" r:id="Rae26e6d81b2f425f"/>
  </x:sheets>
</x:workbook>
</file>

<file path=xl/comments1.xml><?xml version="1.0" encoding="utf-8"?>
<x:comments xmlns:x="http://schemas.openxmlformats.org/spreadsheetml/2006/main">
  <x:authors>
    <x:author>tc={53074288-DFED-A60D-299D-AC528D9690C7}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Workpaper AR-CONF-01 | Portfolio simulation | Synthetic data | As of 2026-06-30.</x:t>
        </x:r>
      </x:text>
    </x:comment>
  </x:commentList>
</x:comments>
</file>

<file path=xl/comments2.xml><?xml version="1.0" encoding="utf-8"?>
<x:comments xmlns:x="http://schemas.openxmlformats.org/spreadsheetml/2006/main">
  <x:authors>
    <x:author>tc={8660C9B4-C2C6-65EB-F4B3-2220A7D0086A}</x:author>
  </x:authors>
  <x:commentList>
    <x:comment ref="G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Selection is judgmental and nonstatistical; no claim is made that five items is a required sample size.</x:t>
        </x:r>
      </x:text>
    </x:comment>
  </x:commentList>
</x:comments>
</file>

<file path=xl/comments3.xml><?xml version="1.0" encoding="utf-8"?>
<x:comments xmlns:x="http://schemas.openxmlformats.org/spreadsheetml/2006/main">
  <x:authors>
    <x:author>tc={43B3884D-1532-61A1-DDD8-6ADC055D0A6C}</x:author>
  </x:authors>
  <x:commentList>
    <x:comment ref="F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Difference agrees to CONF-003 and is retained for management follow-up despite being below assumed materiality.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$&quot;#,##0;[Red](&quot;$&quot;#,##0);-"/>
    <x:numFmt numFmtId="202" formatCode="0.0%"/>
    <x:numFmt numFmtId="203" formatCode="0"/>
    <x:numFmt numFmtId="204" formatCode="0.00"/>
  </x:numFmts>
  <x:fonts count="28">
    <x:font>
      <x:sz val="11"/>
      <x:name val="Carlito"/>
    </x:font>
    <x:font>
      <x:b/>
      <x:sz val="22"/>
      <x:color rgb="FFFFFFFF"/>
      <x:name val="Carlito"/>
    </x:font>
    <x:font>
      <x:sz val="10"/>
      <x:color rgb="FF667085"/>
      <x:name val="Carlito"/>
    </x:font>
    <x:font>
      <x:b/>
      <x:sz val="10"/>
      <x:color rgb="FF667085"/>
      <x:name val="Carlito"/>
    </x:font>
    <x:font>
      <x:b/>
      <x:sz val="10"/>
      <x:color rgb="FF2E7D32"/>
      <x:name val="Carlito"/>
    </x:font>
    <x:font>
      <x:b/>
      <x:sz val="10"/>
      <x:color rgb="FFFFFFFF"/>
      <x:name val="Carlito"/>
    </x:font>
    <x:font>
      <x:b/>
      <x:sz val="20"/>
      <x:color rgb="FF1F2937"/>
      <x:name val="Carlito"/>
    </x:font>
    <x:font>
      <x:b/>
      <x:sz val="20"/>
      <x:color rgb="FF2A7F78"/>
      <x:name val="Carlito"/>
    </x:font>
    <x:font>
      <x:b/>
      <x:sz val="20"/>
      <x:color rgb="FF2F75B5"/>
      <x:name val="Carlito"/>
    </x:font>
    <x:font>
      <x:b/>
      <x:sz val="20"/>
      <x:color rgb="FFB76E00"/>
      <x:name val="Carlito"/>
    </x:font>
    <x:font>
      <x:b/>
      <x:sz val="22"/>
      <x:color rgb="FF1F2937"/>
      <x:name val="Carlito"/>
    </x:font>
    <x:font>
      <x:b/>
      <x:sz val="22"/>
      <x:color rgb="FF2A7F78"/>
      <x:name val="Carlito"/>
    </x:font>
    <x:font>
      <x:b/>
      <x:sz val="22"/>
      <x:color rgb="FF6B5CA5"/>
      <x:name val="Carlito"/>
    </x:font>
    <x:font>
      <x:b/>
      <x:sz val="22"/>
      <x:color rgb="FFB42318"/>
      <x:name val="Carlito"/>
    </x:font>
    <x:font>
      <x:b/>
      <x:sz val="11"/>
      <x:color rgb="FFFFFFFF"/>
      <x:name val="Carlito"/>
    </x:font>
    <x:font>
      <x:b/>
      <x:sz val="11"/>
      <x:color rgb="FF2F75B5"/>
      <x:name val="Carlito"/>
    </x:font>
    <x:font>
      <x:b/>
      <x:sz val="11"/>
      <x:color rgb="FF1F2937"/>
      <x:name val="Carlito"/>
    </x:font>
    <x:font>
      <x:b/>
      <x:sz val="11"/>
      <x:color rgb="FF2A7F78"/>
      <x:name val="Carlito"/>
    </x:font>
    <x:font>
      <x:sz val="10"/>
      <x:color rgb="FF1F2937"/>
      <x:name val="Carlito"/>
    </x:font>
    <x:font>
      <x:b/>
      <x:sz val="11"/>
      <x:color rgb="FF6B5CA5"/>
      <x:name val="Carlito"/>
    </x:font>
    <x:font>
      <x:i/>
      <x:sz val="11"/>
      <x:color rgb="FF667085"/>
      <x:name val="Carlito"/>
    </x:font>
    <x:font>
      <x:i/>
      <x:sz val="11"/>
      <x:color rgb="FF2F75B5"/>
      <x:name val="Carlito"/>
    </x:font>
    <x:font>
      <x:sz val="11"/>
      <x:color rgb="FF667085"/>
      <x:name val="Carlito"/>
    </x:font>
    <x:font>
      <x:b/>
      <x:sz val="11"/>
      <x:color rgb="FF667085"/>
      <x:name val="Carlito"/>
    </x:font>
    <x:font>
      <x:i/>
      <x:sz val="11"/>
      <x:color rgb="FFB76E00"/>
      <x:name val="Carlito"/>
    </x:font>
    <x:font>
      <x:i/>
      <x:sz val="11"/>
      <x:color rgb="FF2A7F78"/>
      <x:name val="Carlito"/>
    </x:font>
    <x:font>
      <x:b/>
      <x:sz val="13"/>
      <x:color rgb="FFFFFFFF"/>
      <x:name val="Carlito"/>
    </x:font>
    <x:font>
      <x:sz val="11"/>
      <x:color rgb="FF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5F7FA"/>
      </x:patternFill>
    </x:fill>
    <x:fill>
      <x:patternFill patternType="solid">
        <x:fgColor rgb="FFEAF5EA"/>
      </x:patternFill>
    </x:fill>
    <x:fill>
      <x:patternFill patternType="solid">
        <x:fgColor rgb="FFFFFFFF"/>
      </x:patternFill>
    </x:fill>
    <x:fill>
      <x:patternFill patternType="solid">
        <x:fgColor rgb="FF2A7F78"/>
      </x:patternFill>
    </x:fill>
    <x:fill>
      <x:patternFill patternType="solid">
        <x:fgColor rgb="FFE8F5F2"/>
      </x:patternFill>
    </x:fill>
    <x:fill>
      <x:patternFill patternType="solid">
        <x:fgColor rgb="FF2F75B5"/>
      </x:patternFill>
    </x:fill>
    <x:fill>
      <x:patternFill patternType="solid">
        <x:fgColor rgb="FFB76E00"/>
      </x:patternFill>
    </x:fill>
    <x:fill>
      <x:patternFill patternType="solid">
        <x:fgColor rgb="FFFFF4E5"/>
      </x:patternFill>
    </x:fill>
    <x:fill>
      <x:patternFill patternType="solid">
        <x:fgColor rgb="FF6B5CA5"/>
      </x:patternFill>
    </x:fill>
    <x:fill>
      <x:patternFill patternType="solid">
        <x:fgColor rgb="FFF1EEFA"/>
      </x:patternFill>
    </x:fill>
    <x:fill>
      <x:patternFill patternType="solid">
        <x:fgColor rgb="FFB42318"/>
      </x:patternFill>
    </x:fill>
    <x:fill>
      <x:patternFill patternType="solid">
        <x:fgColor rgb="FFFCECEC"/>
      </x:patternFill>
    </x:fill>
    <x:fill>
      <x:patternFill patternType="solid">
        <x:fgColor rgb="FFF8FBFE"/>
      </x:patternFill>
    </x:fill>
  </x:fills>
  <x:borders count="37">
    <x:border/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2A7F78"/>
      </x:left>
      <x:top style="thin">
        <x:color rgb="FF2A7F78"/>
      </x:top>
      <x:bottom style="thin">
        <x:color rgb="FF2A7F78"/>
      </x:bottom>
    </x:border>
    <x:border>
      <x:top style="thin">
        <x:color rgb="FF2A7F78"/>
      </x:top>
      <x:bottom style="thin">
        <x:color rgb="FF2A7F78"/>
      </x:bottom>
    </x:border>
    <x:border>
      <x:right style="thin">
        <x:color rgb="FF2A7F78"/>
      </x:right>
      <x:top style="thin">
        <x:color rgb="FF2A7F78"/>
      </x:top>
      <x:bottom style="thin">
        <x:color rgb="FF2A7F78"/>
      </x:bottom>
    </x:border>
    <x:border>
      <x:left style="thin">
        <x:color rgb="FF6B5CA5"/>
      </x:left>
      <x:top style="thin">
        <x:color rgb="FF6B5CA5"/>
      </x:top>
      <x:bottom style="thin">
        <x:color rgb="FF6B5CA5"/>
      </x:bottom>
    </x:border>
    <x:border>
      <x:top style="thin">
        <x:color rgb="FF6B5CA5"/>
      </x:top>
      <x:bottom style="thin">
        <x:color rgb="FF6B5CA5"/>
      </x:bottom>
    </x:border>
    <x:border>
      <x:right style="thin">
        <x:color rgb="FF6B5CA5"/>
      </x:right>
      <x:top style="thin">
        <x:color rgb="FF6B5CA5"/>
      </x:top>
      <x:bottom style="thin">
        <x:color rgb="FF6B5CA5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E7EBF0"/>
      </x:right>
      <x:bottom style="thin">
        <x:color rgb="FFE7EBF0"/>
      </x:bottom>
    </x:border>
    <x:border>
      <x:left style="thin">
        <x:color rgb="FFE7EBF0"/>
      </x:left>
      <x:right style="thin">
        <x:color rgb="FFE7EBF0"/>
      </x:right>
      <x:bottom style="thin">
        <x:color rgb="FFE7EBF0"/>
      </x:bottom>
    </x:border>
    <x:border>
      <x:left style="thin">
        <x:color rgb="FFE7EBF0"/>
      </x:left>
      <x:bottom style="thin">
        <x:color rgb="FFE7EBF0"/>
      </x:bottom>
    </x:border>
    <x:border>
      <x:right style="thin">
        <x:color rgb="FFE7EBF0"/>
      </x:right>
      <x:top style="thin">
        <x:color rgb="FFE7EBF0"/>
      </x:top>
      <x:bottom style="thin">
        <x:color rgb="FFE7EBF0"/>
      </x:bottom>
    </x:border>
    <x:border>
      <x:left style="thin">
        <x:color rgb="FFE7EBF0"/>
      </x:left>
      <x:right style="thin">
        <x:color rgb="FFE7EBF0"/>
      </x:right>
      <x:top style="thin">
        <x:color rgb="FFE7EBF0"/>
      </x:top>
      <x:bottom style="thin">
        <x:color rgb="FFE7EBF0"/>
      </x:bottom>
    </x:border>
    <x:border>
      <x:left style="thin">
        <x:color rgb="FFE7EBF0"/>
      </x:left>
      <x:top style="thin">
        <x:color rgb="FFE7EBF0"/>
      </x:top>
      <x:bottom style="thin">
        <x:color rgb="FFE7EBF0"/>
      </x:bottom>
    </x:border>
    <x:border>
      <x:right style="thin">
        <x:color rgb="FFE7EBF0"/>
      </x:right>
      <x:top style="thin">
        <x:color rgb="FFE7EBF0"/>
      </x:top>
      <x:bottom style="thin">
        <x:color rgb="FFD7DEE7"/>
      </x:bottom>
    </x:border>
    <x:border>
      <x:left style="thin">
        <x:color rgb="FFE7EBF0"/>
      </x:left>
      <x:right style="thin">
        <x:color rgb="FFE7EBF0"/>
      </x:right>
      <x:top style="thin">
        <x:color rgb="FFE7EBF0"/>
      </x:top>
      <x:bottom style="thin">
        <x:color rgb="FFD7DEE7"/>
      </x:bottom>
    </x:border>
    <x:border>
      <x:left style="thin">
        <x:color rgb="FFE7EBF0"/>
      </x:left>
      <x:top style="thin">
        <x:color rgb="FFE7EBF0"/>
      </x:top>
      <x:bottom style="thin">
        <x:color rgb="FFD7DEE7"/>
      </x:bottom>
    </x:border>
    <x:border>
      <x:right style="thin">
        <x:color rgb="FFE7EBF0"/>
      </x:right>
      <x:bottom style="thin">
        <x:color rgb="FFD7DEE7"/>
      </x:bottom>
    </x:border>
    <x:border>
      <x:left style="thin">
        <x:color rgb="FFE7EBF0"/>
      </x:left>
      <x:right style="thin">
        <x:color rgb="FFE7EBF0"/>
      </x:right>
      <x:bottom style="thin">
        <x:color rgb="FFD7DEE7"/>
      </x:bottom>
    </x:border>
    <x:border>
      <x:left style="thin">
        <x:color rgb="FFE7EBF0"/>
      </x:left>
      <x:bottom style="thin">
        <x:color rgb="FFD7DEE7"/>
      </x:bottom>
    </x:border>
  </x:borders>
  <x:cellStyleXfs count="1">
    <x:xf numFmtId="0" fontId="0" fillId="0" borderId="0"/>
  </x:cellStyleXfs>
  <x:cellXfs count="6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201" fontId="6" fillId="6" borderId="4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7" xfId="0" applyNumberFormat="1" applyFont="1" applyFill="1" applyBorder="1"/>
    <x:xf numFmtId="201" fontId="6" fillId="6" borderId="0" xfId="0" applyNumberFormat="1" applyFont="1" applyFill="1" applyBorder="1"/>
    <x:xf numFmtId="201" fontId="6" fillId="6" borderId="8" xfId="0" applyNumberFormat="1" applyFont="1" applyFill="1" applyBorder="1"/>
    <x:xf numFmtId="201" fontId="6" fillId="6" borderId="9" xfId="0" applyNumberFormat="1" applyFont="1" applyFill="1" applyBorder="1"/>
    <x:xf numFmtId="201" fontId="6" fillId="6" borderId="10" xfId="0" applyNumberFormat="1" applyFont="1" applyFill="1" applyBorder="1"/>
    <x:xf numFmtId="201" fontId="6" fillId="6" borderId="11" xfId="0" applyNumberFormat="1" applyFont="1" applyFill="1" applyBorder="1"/>
    <x:xf numFmtId="201" fontId="6" fillId="6" borderId="4" xfId="0" applyNumberFormat="1" applyFont="1" applyFill="1" applyBorder="1" applyAlignment="1">
      <x:alignment horizontal="center"/>
    </x:xf>
    <x:xf numFmtId="201" fontId="6" fillId="6" borderId="5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1" fontId="6" fillId="6" borderId="7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6" borderId="8" xfId="0" applyNumberFormat="1" applyFont="1" applyFill="1" applyBorder="1" applyAlignment="1">
      <x:alignment horizontal="center"/>
    </x:xf>
    <x:xf numFmtId="201" fontId="6" fillId="6" borderId="9" xfId="0" applyNumberFormat="1" applyFont="1" applyFill="1" applyBorder="1" applyAlignment="1">
      <x:alignment horizontal="center"/>
    </x:xf>
    <x:xf numFmtId="201" fontId="6" fillId="6" borderId="10" xfId="0" applyNumberFormat="1" applyFont="1" applyFill="1" applyBorder="1" applyAlignment="1">
      <x:alignment horizontal="center"/>
    </x:xf>
    <x:xf numFmtId="201" fontId="6" fillId="6" borderId="11" xfId="0" applyNumberFormat="1" applyFont="1" applyFill="1" applyBorder="1" applyAlignment="1">
      <x:alignment horizontal="center"/>
    </x:xf>
    <x:xf numFmtId="201" fontId="6" fillId="6" borderId="4" xfId="0" applyNumberFormat="1" applyFont="1" applyFill="1" applyBorder="1" applyAlignment="1">
      <x:alignment horizontal="center" vertical="center"/>
    </x:xf>
    <x:xf numFmtId="201" fontId="6" fillId="6" borderId="5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201" fontId="6" fillId="6" borderId="9" xfId="0" applyNumberFormat="1" applyFont="1" applyFill="1" applyBorder="1" applyAlignment="1">
      <x:alignment horizontal="center" vertical="center"/>
    </x:xf>
    <x:xf numFmtId="201" fontId="6" fillId="6" borderId="10" xfId="0" applyNumberFormat="1" applyFont="1" applyFill="1" applyBorder="1" applyAlignment="1">
      <x:alignment horizontal="center" vertical="center"/>
    </x:xf>
    <x:xf numFmtId="201" fontId="6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5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201" fontId="7" fillId="8" borderId="4" xfId="0" applyNumberFormat="1" applyFont="1" applyFill="1" applyBorder="1"/>
    <x:xf numFmtId="201" fontId="7" fillId="8" borderId="5" xfId="0" applyNumberFormat="1" applyFont="1" applyFill="1" applyBorder="1"/>
    <x:xf numFmtId="201" fontId="7" fillId="8" borderId="6" xfId="0" applyNumberFormat="1" applyFont="1" applyFill="1" applyBorder="1"/>
    <x:xf numFmtId="201" fontId="7" fillId="8" borderId="7" xfId="0" applyNumberFormat="1" applyFont="1" applyFill="1" applyBorder="1"/>
    <x:xf numFmtId="201" fontId="7" fillId="8" borderId="0" xfId="0" applyNumberFormat="1" applyFont="1" applyFill="1" applyBorder="1"/>
    <x:xf numFmtId="201" fontId="7" fillId="8" borderId="8" xfId="0" applyNumberFormat="1" applyFont="1" applyFill="1" applyBorder="1"/>
    <x:xf numFmtId="201" fontId="7" fillId="8" borderId="9" xfId="0" applyNumberFormat="1" applyFont="1" applyFill="1" applyBorder="1"/>
    <x:xf numFmtId="201" fontId="7" fillId="8" borderId="10" xfId="0" applyNumberFormat="1" applyFont="1" applyFill="1" applyBorder="1"/>
    <x:xf numFmtId="201" fontId="7" fillId="8" borderId="11" xfId="0" applyNumberFormat="1" applyFont="1" applyFill="1" applyBorder="1"/>
    <x:xf numFmtId="201" fontId="7" fillId="8" borderId="4" xfId="0" applyNumberFormat="1" applyFont="1" applyFill="1" applyBorder="1" applyAlignment="1">
      <x:alignment horizontal="center"/>
    </x:xf>
    <x:xf numFmtId="201" fontId="7" fillId="8" borderId="5" xfId="0" applyNumberFormat="1" applyFont="1" applyFill="1" applyBorder="1" applyAlignment="1">
      <x:alignment horizontal="center"/>
    </x:xf>
    <x:xf numFmtId="201" fontId="7" fillId="8" borderId="6" xfId="0" applyNumberFormat="1" applyFont="1" applyFill="1" applyBorder="1" applyAlignment="1">
      <x:alignment horizontal="center"/>
    </x:xf>
    <x:xf numFmtId="201" fontId="7" fillId="8" borderId="7" xfId="0" applyNumberFormat="1" applyFont="1" applyFill="1" applyBorder="1" applyAlignment="1">
      <x:alignment horizontal="center"/>
    </x:xf>
    <x:xf numFmtId="201" fontId="7" fillId="8" borderId="0" xfId="0" applyNumberFormat="1" applyFont="1" applyFill="1" applyBorder="1" applyAlignment="1">
      <x:alignment horizontal="center"/>
    </x:xf>
    <x:xf numFmtId="201" fontId="7" fillId="8" borderId="8" xfId="0" applyNumberFormat="1" applyFont="1" applyFill="1" applyBorder="1" applyAlignment="1">
      <x:alignment horizontal="center"/>
    </x:xf>
    <x:xf numFmtId="201" fontId="7" fillId="8" borderId="9" xfId="0" applyNumberFormat="1" applyFont="1" applyFill="1" applyBorder="1" applyAlignment="1">
      <x:alignment horizontal="center"/>
    </x:xf>
    <x:xf numFmtId="201" fontId="7" fillId="8" borderId="10" xfId="0" applyNumberFormat="1" applyFont="1" applyFill="1" applyBorder="1" applyAlignment="1">
      <x:alignment horizontal="center"/>
    </x:xf>
    <x:xf numFmtId="201" fontId="7" fillId="8" borderId="11" xfId="0" applyNumberFormat="1" applyFont="1" applyFill="1" applyBorder="1" applyAlignment="1">
      <x:alignment horizontal="center"/>
    </x:xf>
    <x:xf numFmtId="201" fontId="7" fillId="8" borderId="4" xfId="0" applyNumberFormat="1" applyFont="1" applyFill="1" applyBorder="1" applyAlignment="1">
      <x:alignment horizontal="center" vertical="center"/>
    </x:xf>
    <x:xf numFmtId="201" fontId="7" fillId="8" borderId="5" xfId="0" applyNumberFormat="1" applyFont="1" applyFill="1" applyBorder="1" applyAlignment="1">
      <x:alignment horizontal="center" vertical="center"/>
    </x:xf>
    <x:xf numFmtId="201" fontId="7" fillId="8" borderId="6" xfId="0" applyNumberFormat="1" applyFont="1" applyFill="1" applyBorder="1" applyAlignment="1">
      <x:alignment horizontal="center" vertical="center"/>
    </x:xf>
    <x:xf numFmtId="201" fontId="7" fillId="8" borderId="7" xfId="0" applyNumberFormat="1" applyFont="1" applyFill="1" applyBorder="1" applyAlignment="1">
      <x:alignment horizontal="center" vertical="center"/>
    </x:xf>
    <x:xf numFmtId="201" fontId="7" fillId="8" borderId="0" xfId="0" applyNumberFormat="1" applyFont="1" applyFill="1" applyBorder="1" applyAlignment="1">
      <x:alignment horizontal="center" vertical="center"/>
    </x:xf>
    <x:xf numFmtId="201" fontId="7" fillId="8" borderId="8" xfId="0" applyNumberFormat="1" applyFont="1" applyFill="1" applyBorder="1" applyAlignment="1">
      <x:alignment horizontal="center" vertical="center"/>
    </x:xf>
    <x:xf numFmtId="201" fontId="7" fillId="8" borderId="9" xfId="0" applyNumberFormat="1" applyFont="1" applyFill="1" applyBorder="1" applyAlignment="1">
      <x:alignment horizontal="center" vertical="center"/>
    </x:xf>
    <x:xf numFmtId="201" fontId="7" fillId="8" borderId="10" xfId="0" applyNumberFormat="1" applyFont="1" applyFill="1" applyBorder="1" applyAlignment="1">
      <x:alignment horizontal="center" vertical="center"/>
    </x:xf>
    <x:xf numFmtId="201" fontId="7" fillId="8" borderId="1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3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2" xfId="0" applyNumberFormat="1" applyFont="1" applyFill="1" applyBorder="1" applyAlignment="1">
      <x:alignment horizontal="center"/>
    </x:xf>
    <x:xf numFmtId="0" fontId="5" fillId="9" borderId="3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9" borderId="2" xfId="0" applyNumberFormat="1" applyFont="1" applyFill="1" applyBorder="1" applyAlignment="1">
      <x:alignment horizontal="center" vertical="center"/>
    </x:xf>
    <x:xf numFmtId="0" fontId="5" fillId="9" borderId="3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201" fontId="8" fillId="3" borderId="4" xfId="0" applyNumberFormat="1" applyFont="1" applyFill="1" applyBorder="1"/>
    <x:xf numFmtId="201" fontId="8" fillId="3" borderId="5" xfId="0" applyNumberFormat="1" applyFont="1" applyFill="1" applyBorder="1"/>
    <x:xf numFmtId="201" fontId="8" fillId="3" borderId="6" xfId="0" applyNumberFormat="1" applyFont="1" applyFill="1" applyBorder="1"/>
    <x:xf numFmtId="201" fontId="8" fillId="3" borderId="7" xfId="0" applyNumberFormat="1" applyFont="1" applyFill="1" applyBorder="1"/>
    <x:xf numFmtId="201" fontId="8" fillId="3" borderId="0" xfId="0" applyNumberFormat="1" applyFont="1" applyFill="1" applyBorder="1"/>
    <x:xf numFmtId="201" fontId="8" fillId="3" borderId="8" xfId="0" applyNumberFormat="1" applyFont="1" applyFill="1" applyBorder="1"/>
    <x:xf numFmtId="201" fontId="8" fillId="3" borderId="9" xfId="0" applyNumberFormat="1" applyFont="1" applyFill="1" applyBorder="1"/>
    <x:xf numFmtId="201" fontId="8" fillId="3" borderId="10" xfId="0" applyNumberFormat="1" applyFont="1" applyFill="1" applyBorder="1"/>
    <x:xf numFmtId="201" fontId="8" fillId="3" borderId="11" xfId="0" applyNumberFormat="1" applyFont="1" applyFill="1" applyBorder="1"/>
    <x:xf numFmtId="201" fontId="8" fillId="3" borderId="4" xfId="0" applyNumberFormat="1" applyFont="1" applyFill="1" applyBorder="1" applyAlignment="1">
      <x:alignment horizontal="center"/>
    </x:xf>
    <x:xf numFmtId="201" fontId="8" fillId="3" borderId="5" xfId="0" applyNumberFormat="1" applyFont="1" applyFill="1" applyBorder="1" applyAlignment="1">
      <x:alignment horizontal="center"/>
    </x:xf>
    <x:xf numFmtId="201" fontId="8" fillId="3" borderId="6" xfId="0" applyNumberFormat="1" applyFont="1" applyFill="1" applyBorder="1" applyAlignment="1">
      <x:alignment horizontal="center"/>
    </x:xf>
    <x:xf numFmtId="201" fontId="8" fillId="3" borderId="7" xfId="0" applyNumberFormat="1" applyFont="1" applyFill="1" applyBorder="1" applyAlignment="1">
      <x:alignment horizontal="center"/>
    </x:xf>
    <x:xf numFmtId="201" fontId="8" fillId="3" borderId="0" xfId="0" applyNumberFormat="1" applyFont="1" applyFill="1" applyBorder="1" applyAlignment="1">
      <x:alignment horizontal="center"/>
    </x:xf>
    <x:xf numFmtId="201" fontId="8" fillId="3" borderId="8" xfId="0" applyNumberFormat="1" applyFont="1" applyFill="1" applyBorder="1" applyAlignment="1">
      <x:alignment horizontal="center"/>
    </x:xf>
    <x:xf numFmtId="201" fontId="8" fillId="3" borderId="9" xfId="0" applyNumberFormat="1" applyFont="1" applyFill="1" applyBorder="1" applyAlignment="1">
      <x:alignment horizontal="center"/>
    </x:xf>
    <x:xf numFmtId="201" fontId="8" fillId="3" borderId="10" xfId="0" applyNumberFormat="1" applyFont="1" applyFill="1" applyBorder="1" applyAlignment="1">
      <x:alignment horizontal="center"/>
    </x:xf>
    <x:xf numFmtId="201" fontId="8" fillId="3" borderId="11" xfId="0" applyNumberFormat="1" applyFont="1" applyFill="1" applyBorder="1" applyAlignment="1">
      <x:alignment horizontal="center"/>
    </x:xf>
    <x:xf numFmtId="201" fontId="8" fillId="3" borderId="4" xfId="0" applyNumberFormat="1" applyFont="1" applyFill="1" applyBorder="1" applyAlignment="1">
      <x:alignment horizontal="center" vertical="center"/>
    </x:xf>
    <x:xf numFmtId="201" fontId="8" fillId="3" borderId="5" xfId="0" applyNumberFormat="1" applyFont="1" applyFill="1" applyBorder="1" applyAlignment="1">
      <x:alignment horizontal="center" vertical="center"/>
    </x:xf>
    <x:xf numFmtId="201" fontId="8" fillId="3" borderId="6" xfId="0" applyNumberFormat="1" applyFont="1" applyFill="1" applyBorder="1" applyAlignment="1">
      <x:alignment horizontal="center" vertical="center"/>
    </x:xf>
    <x:xf numFmtId="201" fontId="8" fillId="3" borderId="7" xfId="0" applyNumberFormat="1" applyFont="1" applyFill="1" applyBorder="1" applyAlignment="1">
      <x:alignment horizontal="center" vertical="center"/>
    </x:xf>
    <x:xf numFmtId="201" fontId="8" fillId="3" borderId="0" xfId="0" applyNumberFormat="1" applyFont="1" applyFill="1" applyBorder="1" applyAlignment="1">
      <x:alignment horizontal="center" vertical="center"/>
    </x:xf>
    <x:xf numFmtId="201" fontId="8" fillId="3" borderId="8" xfId="0" applyNumberFormat="1" applyFont="1" applyFill="1" applyBorder="1" applyAlignment="1">
      <x:alignment horizontal="center" vertical="center"/>
    </x:xf>
    <x:xf numFmtId="201" fontId="8" fillId="3" borderId="9" xfId="0" applyNumberFormat="1" applyFont="1" applyFill="1" applyBorder="1" applyAlignment="1">
      <x:alignment horizontal="center" vertical="center"/>
    </x:xf>
    <x:xf numFmtId="201" fontId="8" fillId="3" borderId="10" xfId="0" applyNumberFormat="1" applyFont="1" applyFill="1" applyBorder="1" applyAlignment="1">
      <x:alignment horizontal="center" vertical="center"/>
    </x:xf>
    <x:xf numFmtId="201" fontId="8" fillId="3" borderId="1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2" xfId="0" applyNumberFormat="1" applyFont="1" applyFill="1" applyBorder="1"/>
    <x:xf numFmtId="0" fontId="5" fillId="10" borderId="3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2" xfId="0" applyNumberFormat="1" applyFont="1" applyFill="1" applyBorder="1" applyAlignment="1">
      <x:alignment horizontal="center"/>
    </x:xf>
    <x:xf numFmtId="0" fontId="5" fillId="10" borderId="3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5" fillId="10" borderId="2" xfId="0" applyNumberFormat="1" applyFont="1" applyFill="1" applyBorder="1" applyAlignment="1">
      <x:alignment horizontal="center" vertical="center"/>
    </x:xf>
    <x:xf numFmtId="0" fontId="5" fillId="10" borderId="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4" xfId="0" applyNumberFormat="1" applyFont="1" applyFill="1" applyBorder="1"/>
    <x:xf numFmtId="0" fontId="9" fillId="11" borderId="5" xfId="0" applyNumberFormat="1" applyFont="1" applyFill="1" applyBorder="1"/>
    <x:xf numFmtId="0" fontId="9" fillId="11" borderId="6" xfId="0" applyNumberFormat="1" applyFont="1" applyFill="1" applyBorder="1"/>
    <x:xf numFmtId="0" fontId="9" fillId="11" borderId="7" xfId="0" applyNumberFormat="1" applyFont="1" applyFill="1" applyBorder="1"/>
    <x:xf numFmtId="0" fontId="9" fillId="11" borderId="8" xfId="0" applyNumberFormat="1" applyFont="1" applyFill="1" applyBorder="1"/>
    <x:xf numFmtId="0" fontId="9" fillId="11" borderId="9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202" fontId="9" fillId="11" borderId="4" xfId="0" applyNumberFormat="1" applyFont="1" applyFill="1" applyBorder="1"/>
    <x:xf numFmtId="202" fontId="9" fillId="11" borderId="5" xfId="0" applyNumberFormat="1" applyFont="1" applyFill="1" applyBorder="1"/>
    <x:xf numFmtId="202" fontId="9" fillId="11" borderId="6" xfId="0" applyNumberFormat="1" applyFont="1" applyFill="1" applyBorder="1"/>
    <x:xf numFmtId="202" fontId="9" fillId="11" borderId="7" xfId="0" applyNumberFormat="1" applyFont="1" applyFill="1" applyBorder="1"/>
    <x:xf numFmtId="202" fontId="9" fillId="11" borderId="0" xfId="0" applyNumberFormat="1" applyFont="1" applyFill="1" applyBorder="1"/>
    <x:xf numFmtId="202" fontId="9" fillId="11" borderId="8" xfId="0" applyNumberFormat="1" applyFont="1" applyFill="1" applyBorder="1"/>
    <x:xf numFmtId="202" fontId="9" fillId="11" borderId="9" xfId="0" applyNumberFormat="1" applyFont="1" applyFill="1" applyBorder="1"/>
    <x:xf numFmtId="202" fontId="9" fillId="11" borderId="10" xfId="0" applyNumberFormat="1" applyFont="1" applyFill="1" applyBorder="1"/>
    <x:xf numFmtId="202" fontId="9" fillId="11" borderId="11" xfId="0" applyNumberFormat="1" applyFont="1" applyFill="1" applyBorder="1"/>
    <x:xf numFmtId="202" fontId="9" fillId="11" borderId="4" xfId="0" applyNumberFormat="1" applyFont="1" applyFill="1" applyBorder="1" applyAlignment="1">
      <x:alignment horizontal="center"/>
    </x:xf>
    <x:xf numFmtId="202" fontId="9" fillId="11" borderId="5" xfId="0" applyNumberFormat="1" applyFont="1" applyFill="1" applyBorder="1" applyAlignment="1">
      <x:alignment horizontal="center"/>
    </x:xf>
    <x:xf numFmtId="202" fontId="9" fillId="11" borderId="6" xfId="0" applyNumberFormat="1" applyFont="1" applyFill="1" applyBorder="1" applyAlignment="1">
      <x:alignment horizontal="center"/>
    </x:xf>
    <x:xf numFmtId="202" fontId="9" fillId="11" borderId="7" xfId="0" applyNumberFormat="1" applyFont="1" applyFill="1" applyBorder="1" applyAlignment="1">
      <x:alignment horizontal="center"/>
    </x:xf>
    <x:xf numFmtId="202" fontId="9" fillId="11" borderId="0" xfId="0" applyNumberFormat="1" applyFont="1" applyFill="1" applyBorder="1" applyAlignment="1">
      <x:alignment horizontal="center"/>
    </x:xf>
    <x:xf numFmtId="202" fontId="9" fillId="11" borderId="8" xfId="0" applyNumberFormat="1" applyFont="1" applyFill="1" applyBorder="1" applyAlignment="1">
      <x:alignment horizontal="center"/>
    </x:xf>
    <x:xf numFmtId="202" fontId="9" fillId="11" borderId="9" xfId="0" applyNumberFormat="1" applyFont="1" applyFill="1" applyBorder="1" applyAlignment="1">
      <x:alignment horizontal="center"/>
    </x:xf>
    <x:xf numFmtId="202" fontId="9" fillId="11" borderId="10" xfId="0" applyNumberFormat="1" applyFont="1" applyFill="1" applyBorder="1" applyAlignment="1">
      <x:alignment horizontal="center"/>
    </x:xf>
    <x:xf numFmtId="202" fontId="9" fillId="11" borderId="11" xfId="0" applyNumberFormat="1" applyFont="1" applyFill="1" applyBorder="1" applyAlignment="1">
      <x:alignment horizontal="center"/>
    </x:xf>
    <x:xf numFmtId="202" fontId="9" fillId="11" borderId="4" xfId="0" applyNumberFormat="1" applyFont="1" applyFill="1" applyBorder="1" applyAlignment="1">
      <x:alignment horizontal="center" vertical="center"/>
    </x:xf>
    <x:xf numFmtId="202" fontId="9" fillId="11" borderId="5" xfId="0" applyNumberFormat="1" applyFont="1" applyFill="1" applyBorder="1" applyAlignment="1">
      <x:alignment horizontal="center" vertical="center"/>
    </x:xf>
    <x:xf numFmtId="202" fontId="9" fillId="11" borderId="6" xfId="0" applyNumberFormat="1" applyFont="1" applyFill="1" applyBorder="1" applyAlignment="1">
      <x:alignment horizontal="center" vertical="center"/>
    </x:xf>
    <x:xf numFmtId="202" fontId="9" fillId="11" borderId="7" xfId="0" applyNumberFormat="1" applyFont="1" applyFill="1" applyBorder="1" applyAlignment="1">
      <x:alignment horizontal="center" vertical="center"/>
    </x:xf>
    <x:xf numFmtId="202" fontId="9" fillId="11" borderId="0" xfId="0" applyNumberFormat="1" applyFont="1" applyFill="1" applyBorder="1" applyAlignment="1">
      <x:alignment horizontal="center" vertical="center"/>
    </x:xf>
    <x:xf numFmtId="202" fontId="9" fillId="11" borderId="8" xfId="0" applyNumberFormat="1" applyFont="1" applyFill="1" applyBorder="1" applyAlignment="1">
      <x:alignment horizontal="center" vertical="center"/>
    </x:xf>
    <x:xf numFmtId="202" fontId="9" fillId="11" borderId="9" xfId="0" applyNumberFormat="1" applyFont="1" applyFill="1" applyBorder="1" applyAlignment="1">
      <x:alignment horizontal="center" vertical="center"/>
    </x:xf>
    <x:xf numFmtId="202" fontId="9" fillId="11" borderId="10" xfId="0" applyNumberFormat="1" applyFont="1" applyFill="1" applyBorder="1" applyAlignment="1">
      <x:alignment horizontal="center" vertical="center"/>
    </x:xf>
    <x:xf numFmtId="202" fontId="9" fillId="11" borderId="11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4" xfId="0" applyNumberFormat="1" applyFont="1" applyFill="1" applyBorder="1"/>
    <x:xf numFmtId="0" fontId="10" fillId="6" borderId="5" xfId="0" applyNumberFormat="1" applyFont="1" applyFill="1" applyBorder="1"/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0" fillId="6" borderId="8" xfId="0" applyNumberFormat="1" applyFont="1" applyFill="1" applyBorder="1"/>
    <x:xf numFmtId="0" fontId="10" fillId="6" borderId="9" xfId="0" applyNumberFormat="1" applyFont="1" applyFill="1" applyBorder="1"/>
    <x:xf numFmtId="0" fontId="10" fillId="6" borderId="10" xfId="0" applyNumberFormat="1" applyFont="1" applyFill="1" applyBorder="1"/>
    <x:xf numFmtId="0" fontId="10" fillId="6" borderId="11" xfId="0" applyNumberFormat="1" applyFont="1" applyFill="1" applyBorder="1"/>
    <x:xf numFmtId="203" fontId="10" fillId="6" borderId="4" xfId="0" applyNumberFormat="1" applyFont="1" applyFill="1" applyBorder="1"/>
    <x:xf numFmtId="203" fontId="10" fillId="6" borderId="5" xfId="0" applyNumberFormat="1" applyFont="1" applyFill="1" applyBorder="1"/>
    <x:xf numFmtId="203" fontId="10" fillId="6" borderId="6" xfId="0" applyNumberFormat="1" applyFont="1" applyFill="1" applyBorder="1"/>
    <x:xf numFmtId="203" fontId="10" fillId="6" borderId="7" xfId="0" applyNumberFormat="1" applyFont="1" applyFill="1" applyBorder="1"/>
    <x:xf numFmtId="203" fontId="10" fillId="6" borderId="0" xfId="0" applyNumberFormat="1" applyFont="1" applyFill="1" applyBorder="1"/>
    <x:xf numFmtId="203" fontId="10" fillId="6" borderId="8" xfId="0" applyNumberFormat="1" applyFont="1" applyFill="1" applyBorder="1"/>
    <x:xf numFmtId="203" fontId="10" fillId="6" borderId="9" xfId="0" applyNumberFormat="1" applyFont="1" applyFill="1" applyBorder="1"/>
    <x:xf numFmtId="203" fontId="10" fillId="6" borderId="10" xfId="0" applyNumberFormat="1" applyFont="1" applyFill="1" applyBorder="1"/>
    <x:xf numFmtId="203" fontId="10" fillId="6" borderId="11" xfId="0" applyNumberFormat="1" applyFont="1" applyFill="1" applyBorder="1"/>
    <x:xf numFmtId="203" fontId="10" fillId="6" borderId="4" xfId="0" applyNumberFormat="1" applyFont="1" applyFill="1" applyBorder="1" applyAlignment="1">
      <x:alignment horizontal="center"/>
    </x:xf>
    <x:xf numFmtId="203" fontId="10" fillId="6" borderId="5" xfId="0" applyNumberFormat="1" applyFont="1" applyFill="1" applyBorder="1" applyAlignment="1">
      <x:alignment horizontal="center"/>
    </x:xf>
    <x:xf numFmtId="203" fontId="10" fillId="6" borderId="6" xfId="0" applyNumberFormat="1" applyFont="1" applyFill="1" applyBorder="1" applyAlignment="1">
      <x:alignment horizontal="center"/>
    </x:xf>
    <x:xf numFmtId="203" fontId="10" fillId="6" borderId="7" xfId="0" applyNumberFormat="1" applyFont="1" applyFill="1" applyBorder="1" applyAlignment="1">
      <x:alignment horizontal="center"/>
    </x:xf>
    <x:xf numFmtId="203" fontId="10" fillId="6" borderId="0" xfId="0" applyNumberFormat="1" applyFont="1" applyFill="1" applyBorder="1" applyAlignment="1">
      <x:alignment horizontal="center"/>
    </x:xf>
    <x:xf numFmtId="203" fontId="10" fillId="6" borderId="8" xfId="0" applyNumberFormat="1" applyFont="1" applyFill="1" applyBorder="1" applyAlignment="1">
      <x:alignment horizontal="center"/>
    </x:xf>
    <x:xf numFmtId="203" fontId="10" fillId="6" borderId="9" xfId="0" applyNumberFormat="1" applyFont="1" applyFill="1" applyBorder="1" applyAlignment="1">
      <x:alignment horizontal="center"/>
    </x:xf>
    <x:xf numFmtId="203" fontId="10" fillId="6" borderId="10" xfId="0" applyNumberFormat="1" applyFont="1" applyFill="1" applyBorder="1" applyAlignment="1">
      <x:alignment horizontal="center"/>
    </x:xf>
    <x:xf numFmtId="203" fontId="10" fillId="6" borderId="11" xfId="0" applyNumberFormat="1" applyFont="1" applyFill="1" applyBorder="1" applyAlignment="1">
      <x:alignment horizontal="center"/>
    </x:xf>
    <x:xf numFmtId="203" fontId="10" fillId="6" borderId="4" xfId="0" applyNumberFormat="1" applyFont="1" applyFill="1" applyBorder="1" applyAlignment="1">
      <x:alignment horizontal="center" vertical="center"/>
    </x:xf>
    <x:xf numFmtId="203" fontId="10" fillId="6" borderId="5" xfId="0" applyNumberFormat="1" applyFont="1" applyFill="1" applyBorder="1" applyAlignment="1">
      <x:alignment horizontal="center" vertical="center"/>
    </x:xf>
    <x:xf numFmtId="203" fontId="10" fillId="6" borderId="6" xfId="0" applyNumberFormat="1" applyFont="1" applyFill="1" applyBorder="1" applyAlignment="1">
      <x:alignment horizontal="center" vertical="center"/>
    </x:xf>
    <x:xf numFmtId="203" fontId="10" fillId="6" borderId="7" xfId="0" applyNumberFormat="1" applyFont="1" applyFill="1" applyBorder="1" applyAlignment="1">
      <x:alignment horizontal="center" vertical="center"/>
    </x:xf>
    <x:xf numFmtId="203" fontId="10" fillId="6" borderId="0" xfId="0" applyNumberFormat="1" applyFont="1" applyFill="1" applyBorder="1" applyAlignment="1">
      <x:alignment horizontal="center" vertical="center"/>
    </x:xf>
    <x:xf numFmtId="203" fontId="10" fillId="6" borderId="8" xfId="0" applyNumberFormat="1" applyFont="1" applyFill="1" applyBorder="1" applyAlignment="1">
      <x:alignment horizontal="center" vertical="center"/>
    </x:xf>
    <x:xf numFmtId="203" fontId="10" fillId="6" borderId="9" xfId="0" applyNumberFormat="1" applyFont="1" applyFill="1" applyBorder="1" applyAlignment="1">
      <x:alignment horizontal="center" vertical="center"/>
    </x:xf>
    <x:xf numFmtId="203" fontId="10" fillId="6" borderId="10" xfId="0" applyNumberFormat="1" applyFont="1" applyFill="1" applyBorder="1" applyAlignment="1">
      <x:alignment horizontal="center" vertical="center"/>
    </x:xf>
    <x:xf numFmtId="203" fontId="10" fillId="6" borderId="11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202" fontId="11" fillId="8" borderId="4" xfId="0" applyNumberFormat="1" applyFont="1" applyFill="1" applyBorder="1"/>
    <x:xf numFmtId="202" fontId="11" fillId="8" borderId="5" xfId="0" applyNumberFormat="1" applyFont="1" applyFill="1" applyBorder="1"/>
    <x:xf numFmtId="202" fontId="11" fillId="8" borderId="6" xfId="0" applyNumberFormat="1" applyFont="1" applyFill="1" applyBorder="1"/>
    <x:xf numFmtId="202" fontId="11" fillId="8" borderId="7" xfId="0" applyNumberFormat="1" applyFont="1" applyFill="1" applyBorder="1"/>
    <x:xf numFmtId="202" fontId="11" fillId="8" borderId="0" xfId="0" applyNumberFormat="1" applyFont="1" applyFill="1" applyBorder="1"/>
    <x:xf numFmtId="202" fontId="11" fillId="8" borderId="8" xfId="0" applyNumberFormat="1" applyFont="1" applyFill="1" applyBorder="1"/>
    <x:xf numFmtId="202" fontId="11" fillId="8" borderId="9" xfId="0" applyNumberFormat="1" applyFont="1" applyFill="1" applyBorder="1"/>
    <x:xf numFmtId="202" fontId="11" fillId="8" borderId="10" xfId="0" applyNumberFormat="1" applyFont="1" applyFill="1" applyBorder="1"/>
    <x:xf numFmtId="202" fontId="11" fillId="8" borderId="11" xfId="0" applyNumberFormat="1" applyFont="1" applyFill="1" applyBorder="1"/>
    <x:xf numFmtId="202" fontId="11" fillId="8" borderId="4" xfId="0" applyNumberFormat="1" applyFont="1" applyFill="1" applyBorder="1" applyAlignment="1">
      <x:alignment horizontal="center"/>
    </x:xf>
    <x:xf numFmtId="202" fontId="11" fillId="8" borderId="5" xfId="0" applyNumberFormat="1" applyFont="1" applyFill="1" applyBorder="1" applyAlignment="1">
      <x:alignment horizontal="center"/>
    </x:xf>
    <x:xf numFmtId="202" fontId="11" fillId="8" borderId="6" xfId="0" applyNumberFormat="1" applyFont="1" applyFill="1" applyBorder="1" applyAlignment="1">
      <x:alignment horizontal="center"/>
    </x:xf>
    <x:xf numFmtId="202" fontId="11" fillId="8" borderId="7" xfId="0" applyNumberFormat="1" applyFont="1" applyFill="1" applyBorder="1" applyAlignment="1">
      <x:alignment horizontal="center"/>
    </x:xf>
    <x:xf numFmtId="202" fontId="11" fillId="8" borderId="0" xfId="0" applyNumberFormat="1" applyFont="1" applyFill="1" applyBorder="1" applyAlignment="1">
      <x:alignment horizontal="center"/>
    </x:xf>
    <x:xf numFmtId="202" fontId="11" fillId="8" borderId="8" xfId="0" applyNumberFormat="1" applyFont="1" applyFill="1" applyBorder="1" applyAlignment="1">
      <x:alignment horizontal="center"/>
    </x:xf>
    <x:xf numFmtId="202" fontId="11" fillId="8" borderId="9" xfId="0" applyNumberFormat="1" applyFont="1" applyFill="1" applyBorder="1" applyAlignment="1">
      <x:alignment horizontal="center"/>
    </x:xf>
    <x:xf numFmtId="202" fontId="11" fillId="8" borderId="10" xfId="0" applyNumberFormat="1" applyFont="1" applyFill="1" applyBorder="1" applyAlignment="1">
      <x:alignment horizontal="center"/>
    </x:xf>
    <x:xf numFmtId="202" fontId="11" fillId="8" borderId="11" xfId="0" applyNumberFormat="1" applyFont="1" applyFill="1" applyBorder="1" applyAlignment="1">
      <x:alignment horizontal="center"/>
    </x:xf>
    <x:xf numFmtId="202" fontId="11" fillId="8" borderId="4" xfId="0" applyNumberFormat="1" applyFont="1" applyFill="1" applyBorder="1" applyAlignment="1">
      <x:alignment horizontal="center" vertical="center"/>
    </x:xf>
    <x:xf numFmtId="202" fontId="11" fillId="8" borderId="5" xfId="0" applyNumberFormat="1" applyFont="1" applyFill="1" applyBorder="1" applyAlignment="1">
      <x:alignment horizontal="center" vertical="center"/>
    </x:xf>
    <x:xf numFmtId="202" fontId="11" fillId="8" borderId="6" xfId="0" applyNumberFormat="1" applyFont="1" applyFill="1" applyBorder="1" applyAlignment="1">
      <x:alignment horizontal="center" vertical="center"/>
    </x:xf>
    <x:xf numFmtId="202" fontId="11" fillId="8" borderId="7" xfId="0" applyNumberFormat="1" applyFont="1" applyFill="1" applyBorder="1" applyAlignment="1">
      <x:alignment horizontal="center" vertical="center"/>
    </x:xf>
    <x:xf numFmtId="202" fontId="11" fillId="8" borderId="0" xfId="0" applyNumberFormat="1" applyFont="1" applyFill="1" applyBorder="1" applyAlignment="1">
      <x:alignment horizontal="center" vertical="center"/>
    </x:xf>
    <x:xf numFmtId="202" fontId="11" fillId="8" borderId="8" xfId="0" applyNumberFormat="1" applyFont="1" applyFill="1" applyBorder="1" applyAlignment="1">
      <x:alignment horizontal="center" vertical="center"/>
    </x:xf>
    <x:xf numFmtId="202" fontId="11" fillId="8" borderId="9" xfId="0" applyNumberFormat="1" applyFont="1" applyFill="1" applyBorder="1" applyAlignment="1">
      <x:alignment horizontal="center" vertical="center"/>
    </x:xf>
    <x:xf numFmtId="202" fontId="11" fillId="8" borderId="10" xfId="0" applyNumberFormat="1" applyFont="1" applyFill="1" applyBorder="1" applyAlignment="1">
      <x:alignment horizontal="center" vertical="center"/>
    </x:xf>
    <x:xf numFmtId="202" fontId="11" fillId="8" borderId="1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2" xfId="0" applyNumberFormat="1" applyFont="1" applyFill="1" applyBorder="1"/>
    <x:xf numFmtId="0" fontId="5" fillId="12" borderId="3" xfId="0" applyNumberFormat="1" applyFont="1" applyFill="1" applyBorder="1"/>
    <x:xf numFmtId="0" fontId="5" fillId="12" borderId="1" xfId="0" applyNumberFormat="1" applyFont="1" applyFill="1" applyBorder="1" applyAlignment="1">
      <x:alignment horizontal="center"/>
    </x:xf>
    <x:xf numFmtId="0" fontId="5" fillId="12" borderId="2" xfId="0" applyNumberFormat="1" applyFont="1" applyFill="1" applyBorder="1" applyAlignment="1">
      <x:alignment horizontal="center"/>
    </x:xf>
    <x:xf numFmtId="0" fontId="5" fillId="12" borderId="3" xfId="0" applyNumberFormat="1" applyFont="1" applyFill="1" applyBorder="1" applyAlignment="1">
      <x:alignment horizontal="center"/>
    </x:xf>
    <x:xf numFmtId="0" fontId="5" fillId="12" borderId="1" xfId="0" applyNumberFormat="1" applyFont="1" applyFill="1" applyBorder="1" applyAlignment="1">
      <x:alignment horizontal="center" vertical="center"/>
    </x:xf>
    <x:xf numFmtId="0" fontId="5" fillId="12" borderId="2" xfId="0" applyNumberFormat="1" applyFont="1" applyFill="1" applyBorder="1" applyAlignment="1">
      <x:alignment horizontal="center" vertical="center"/>
    </x:xf>
    <x:xf numFmtId="0" fontId="5" fillId="12" borderId="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4" xfId="0" applyNumberFormat="1" applyFont="1" applyFill="1" applyBorder="1"/>
    <x:xf numFmtId="0" fontId="12" fillId="13" borderId="5" xfId="0" applyNumberFormat="1" applyFont="1" applyFill="1" applyBorder="1"/>
    <x:xf numFmtId="0" fontId="12" fillId="13" borderId="6" xfId="0" applyNumberFormat="1" applyFont="1" applyFill="1" applyBorder="1"/>
    <x:xf numFmtId="0" fontId="12" fillId="13" borderId="7" xfId="0" applyNumberFormat="1" applyFont="1" applyFill="1" applyBorder="1"/>
    <x:xf numFmtId="0" fontId="12" fillId="13" borderId="8" xfId="0" applyNumberFormat="1" applyFont="1" applyFill="1" applyBorder="1"/>
    <x:xf numFmtId="0" fontId="12" fillId="13" borderId="9" xfId="0" applyNumberFormat="1" applyFont="1" applyFill="1" applyBorder="1"/>
    <x:xf numFmtId="0" fontId="12" fillId="13" borderId="10" xfId="0" applyNumberFormat="1" applyFont="1" applyFill="1" applyBorder="1"/>
    <x:xf numFmtId="0" fontId="12" fillId="13" borderId="11" xfId="0" applyNumberFormat="1" applyFont="1" applyFill="1" applyBorder="1"/>
    <x:xf numFmtId="203" fontId="12" fillId="13" borderId="4" xfId="0" applyNumberFormat="1" applyFont="1" applyFill="1" applyBorder="1"/>
    <x:xf numFmtId="203" fontId="12" fillId="13" borderId="5" xfId="0" applyNumberFormat="1" applyFont="1" applyFill="1" applyBorder="1"/>
    <x:xf numFmtId="203" fontId="12" fillId="13" borderId="6" xfId="0" applyNumberFormat="1" applyFont="1" applyFill="1" applyBorder="1"/>
    <x:xf numFmtId="203" fontId="12" fillId="13" borderId="7" xfId="0" applyNumberFormat="1" applyFont="1" applyFill="1" applyBorder="1"/>
    <x:xf numFmtId="203" fontId="12" fillId="13" borderId="0" xfId="0" applyNumberFormat="1" applyFont="1" applyFill="1" applyBorder="1"/>
    <x:xf numFmtId="203" fontId="12" fillId="13" borderId="8" xfId="0" applyNumberFormat="1" applyFont="1" applyFill="1" applyBorder="1"/>
    <x:xf numFmtId="203" fontId="12" fillId="13" borderId="9" xfId="0" applyNumberFormat="1" applyFont="1" applyFill="1" applyBorder="1"/>
    <x:xf numFmtId="203" fontId="12" fillId="13" borderId="10" xfId="0" applyNumberFormat="1" applyFont="1" applyFill="1" applyBorder="1"/>
    <x:xf numFmtId="203" fontId="12" fillId="13" borderId="11" xfId="0" applyNumberFormat="1" applyFont="1" applyFill="1" applyBorder="1"/>
    <x:xf numFmtId="203" fontId="12" fillId="13" borderId="4" xfId="0" applyNumberFormat="1" applyFont="1" applyFill="1" applyBorder="1" applyAlignment="1">
      <x:alignment horizontal="center"/>
    </x:xf>
    <x:xf numFmtId="203" fontId="12" fillId="13" borderId="5" xfId="0" applyNumberFormat="1" applyFont="1" applyFill="1" applyBorder="1" applyAlignment="1">
      <x:alignment horizontal="center"/>
    </x:xf>
    <x:xf numFmtId="203" fontId="12" fillId="13" borderId="6" xfId="0" applyNumberFormat="1" applyFont="1" applyFill="1" applyBorder="1" applyAlignment="1">
      <x:alignment horizontal="center"/>
    </x:xf>
    <x:xf numFmtId="203" fontId="12" fillId="13" borderId="7" xfId="0" applyNumberFormat="1" applyFont="1" applyFill="1" applyBorder="1" applyAlignment="1">
      <x:alignment horizontal="center"/>
    </x:xf>
    <x:xf numFmtId="203" fontId="12" fillId="13" borderId="0" xfId="0" applyNumberFormat="1" applyFont="1" applyFill="1" applyBorder="1" applyAlignment="1">
      <x:alignment horizontal="center"/>
    </x:xf>
    <x:xf numFmtId="203" fontId="12" fillId="13" borderId="8" xfId="0" applyNumberFormat="1" applyFont="1" applyFill="1" applyBorder="1" applyAlignment="1">
      <x:alignment horizontal="center"/>
    </x:xf>
    <x:xf numFmtId="203" fontId="12" fillId="13" borderId="9" xfId="0" applyNumberFormat="1" applyFont="1" applyFill="1" applyBorder="1" applyAlignment="1">
      <x:alignment horizontal="center"/>
    </x:xf>
    <x:xf numFmtId="203" fontId="12" fillId="13" borderId="10" xfId="0" applyNumberFormat="1" applyFont="1" applyFill="1" applyBorder="1" applyAlignment="1">
      <x:alignment horizontal="center"/>
    </x:xf>
    <x:xf numFmtId="203" fontId="12" fillId="13" borderId="11" xfId="0" applyNumberFormat="1" applyFont="1" applyFill="1" applyBorder="1" applyAlignment="1">
      <x:alignment horizontal="center"/>
    </x:xf>
    <x:xf numFmtId="203" fontId="12" fillId="13" borderId="4" xfId="0" applyNumberFormat="1" applyFont="1" applyFill="1" applyBorder="1" applyAlignment="1">
      <x:alignment horizontal="center" vertical="center"/>
    </x:xf>
    <x:xf numFmtId="203" fontId="12" fillId="13" borderId="5" xfId="0" applyNumberFormat="1" applyFont="1" applyFill="1" applyBorder="1" applyAlignment="1">
      <x:alignment horizontal="center" vertical="center"/>
    </x:xf>
    <x:xf numFmtId="203" fontId="12" fillId="13" borderId="6" xfId="0" applyNumberFormat="1" applyFont="1" applyFill="1" applyBorder="1" applyAlignment="1">
      <x:alignment horizontal="center" vertical="center"/>
    </x:xf>
    <x:xf numFmtId="203" fontId="12" fillId="13" borderId="7" xfId="0" applyNumberFormat="1" applyFont="1" applyFill="1" applyBorder="1" applyAlignment="1">
      <x:alignment horizontal="center" vertical="center"/>
    </x:xf>
    <x:xf numFmtId="203" fontId="12" fillId="13" borderId="0" xfId="0" applyNumberFormat="1" applyFont="1" applyFill="1" applyBorder="1" applyAlignment="1">
      <x:alignment horizontal="center" vertical="center"/>
    </x:xf>
    <x:xf numFmtId="203" fontId="12" fillId="13" borderId="8" xfId="0" applyNumberFormat="1" applyFont="1" applyFill="1" applyBorder="1" applyAlignment="1">
      <x:alignment horizontal="center" vertical="center"/>
    </x:xf>
    <x:xf numFmtId="203" fontId="12" fillId="13" borderId="9" xfId="0" applyNumberFormat="1" applyFont="1" applyFill="1" applyBorder="1" applyAlignment="1">
      <x:alignment horizontal="center" vertical="center"/>
    </x:xf>
    <x:xf numFmtId="203" fontId="12" fillId="13" borderId="10" xfId="0" applyNumberFormat="1" applyFont="1" applyFill="1" applyBorder="1" applyAlignment="1">
      <x:alignment horizontal="center" vertical="center"/>
    </x:xf>
    <x:xf numFmtId="203" fontId="12" fillId="13" borderId="1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5" fillId="14" borderId="2" xfId="0" applyNumberFormat="1" applyFont="1" applyFill="1" applyBorder="1" applyAlignment="1">
      <x:alignment horizontal="center"/>
    </x:xf>
    <x:xf numFmtId="0" fontId="5" fillId="14" borderId="3" xfId="0" applyNumberFormat="1" applyFont="1" applyFill="1" applyBorder="1" applyAlignment="1">
      <x:alignment horizontal="center"/>
    </x:xf>
    <x:xf numFmtId="0" fontId="5" fillId="14" borderId="1" xfId="0" applyNumberFormat="1" applyFont="1" applyFill="1" applyBorder="1" applyAlignment="1">
      <x:alignment horizontal="center" vertical="center"/>
    </x:xf>
    <x:xf numFmtId="0" fontId="5" fillId="14" borderId="2" xfId="0" applyNumberFormat="1" applyFont="1" applyFill="1" applyBorder="1" applyAlignment="1">
      <x:alignment horizontal="center" vertical="center"/>
    </x:xf>
    <x:xf numFmtId="0" fontId="5" fillId="14" borderId="3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4" xfId="0" applyNumberFormat="1" applyFont="1" applyFill="1" applyBorder="1"/>
    <x:xf numFmtId="0" fontId="13" fillId="15" borderId="5" xfId="0" applyNumberFormat="1" applyFont="1" applyFill="1" applyBorder="1"/>
    <x:xf numFmtId="0" fontId="13" fillId="15" borderId="6" xfId="0" applyNumberFormat="1" applyFont="1" applyFill="1" applyBorder="1"/>
    <x:xf numFmtId="0" fontId="13" fillId="15" borderId="7" xfId="0" applyNumberFormat="1" applyFont="1" applyFill="1" applyBorder="1"/>
    <x:xf numFmtId="0" fontId="13" fillId="15" borderId="8" xfId="0" applyNumberFormat="1" applyFont="1" applyFill="1" applyBorder="1"/>
    <x:xf numFmtId="0" fontId="13" fillId="15" borderId="9" xfId="0" applyNumberFormat="1" applyFont="1" applyFill="1" applyBorder="1"/>
    <x:xf numFmtId="0" fontId="13" fillId="15" borderId="10" xfId="0" applyNumberFormat="1" applyFont="1" applyFill="1" applyBorder="1"/>
    <x:xf numFmtId="0" fontId="13" fillId="15" borderId="11" xfId="0" applyNumberFormat="1" applyFont="1" applyFill="1" applyBorder="1"/>
    <x:xf numFmtId="203" fontId="13" fillId="15" borderId="4" xfId="0" applyNumberFormat="1" applyFont="1" applyFill="1" applyBorder="1"/>
    <x:xf numFmtId="203" fontId="13" fillId="15" borderId="5" xfId="0" applyNumberFormat="1" applyFont="1" applyFill="1" applyBorder="1"/>
    <x:xf numFmtId="203" fontId="13" fillId="15" borderId="6" xfId="0" applyNumberFormat="1" applyFont="1" applyFill="1" applyBorder="1"/>
    <x:xf numFmtId="203" fontId="13" fillId="15" borderId="7" xfId="0" applyNumberFormat="1" applyFont="1" applyFill="1" applyBorder="1"/>
    <x:xf numFmtId="203" fontId="13" fillId="15" borderId="0" xfId="0" applyNumberFormat="1" applyFont="1" applyFill="1" applyBorder="1"/>
    <x:xf numFmtId="203" fontId="13" fillId="15" borderId="8" xfId="0" applyNumberFormat="1" applyFont="1" applyFill="1" applyBorder="1"/>
    <x:xf numFmtId="203" fontId="13" fillId="15" borderId="9" xfId="0" applyNumberFormat="1" applyFont="1" applyFill="1" applyBorder="1"/>
    <x:xf numFmtId="203" fontId="13" fillId="15" borderId="10" xfId="0" applyNumberFormat="1" applyFont="1" applyFill="1" applyBorder="1"/>
    <x:xf numFmtId="203" fontId="13" fillId="15" borderId="11" xfId="0" applyNumberFormat="1" applyFont="1" applyFill="1" applyBorder="1"/>
    <x:xf numFmtId="203" fontId="13" fillId="15" borderId="4" xfId="0" applyNumberFormat="1" applyFont="1" applyFill="1" applyBorder="1" applyAlignment="1">
      <x:alignment horizontal="center"/>
    </x:xf>
    <x:xf numFmtId="203" fontId="13" fillId="15" borderId="5" xfId="0" applyNumberFormat="1" applyFont="1" applyFill="1" applyBorder="1" applyAlignment="1">
      <x:alignment horizontal="center"/>
    </x:xf>
    <x:xf numFmtId="203" fontId="13" fillId="15" borderId="6" xfId="0" applyNumberFormat="1" applyFont="1" applyFill="1" applyBorder="1" applyAlignment="1">
      <x:alignment horizontal="center"/>
    </x:xf>
    <x:xf numFmtId="203" fontId="13" fillId="15" borderId="7" xfId="0" applyNumberFormat="1" applyFont="1" applyFill="1" applyBorder="1" applyAlignment="1">
      <x:alignment horizontal="center"/>
    </x:xf>
    <x:xf numFmtId="203" fontId="13" fillId="15" borderId="0" xfId="0" applyNumberFormat="1" applyFont="1" applyFill="1" applyBorder="1" applyAlignment="1">
      <x:alignment horizontal="center"/>
    </x:xf>
    <x:xf numFmtId="203" fontId="13" fillId="15" borderId="8" xfId="0" applyNumberFormat="1" applyFont="1" applyFill="1" applyBorder="1" applyAlignment="1">
      <x:alignment horizontal="center"/>
    </x:xf>
    <x:xf numFmtId="203" fontId="13" fillId="15" borderId="9" xfId="0" applyNumberFormat="1" applyFont="1" applyFill="1" applyBorder="1" applyAlignment="1">
      <x:alignment horizontal="center"/>
    </x:xf>
    <x:xf numFmtId="203" fontId="13" fillId="15" borderId="10" xfId="0" applyNumberFormat="1" applyFont="1" applyFill="1" applyBorder="1" applyAlignment="1">
      <x:alignment horizontal="center"/>
    </x:xf>
    <x:xf numFmtId="203" fontId="13" fillId="15" borderId="11" xfId="0" applyNumberFormat="1" applyFont="1" applyFill="1" applyBorder="1" applyAlignment="1">
      <x:alignment horizontal="center"/>
    </x:xf>
    <x:xf numFmtId="203" fontId="13" fillId="15" borderId="4" xfId="0" applyNumberFormat="1" applyFont="1" applyFill="1" applyBorder="1" applyAlignment="1">
      <x:alignment horizontal="center" vertical="center"/>
    </x:xf>
    <x:xf numFmtId="203" fontId="13" fillId="15" borderId="5" xfId="0" applyNumberFormat="1" applyFont="1" applyFill="1" applyBorder="1" applyAlignment="1">
      <x:alignment horizontal="center" vertical="center"/>
    </x:xf>
    <x:xf numFmtId="203" fontId="13" fillId="15" borderId="6" xfId="0" applyNumberFormat="1" applyFont="1" applyFill="1" applyBorder="1" applyAlignment="1">
      <x:alignment horizontal="center" vertical="center"/>
    </x:xf>
    <x:xf numFmtId="203" fontId="13" fillId="15" borderId="7" xfId="0" applyNumberFormat="1" applyFont="1" applyFill="1" applyBorder="1" applyAlignment="1">
      <x:alignment horizontal="center" vertical="center"/>
    </x:xf>
    <x:xf numFmtId="203" fontId="13" fillId="15" borderId="0" xfId="0" applyNumberFormat="1" applyFont="1" applyFill="1" applyBorder="1" applyAlignment="1">
      <x:alignment horizontal="center" vertical="center"/>
    </x:xf>
    <x:xf numFmtId="203" fontId="13" fillId="15" borderId="8" xfId="0" applyNumberFormat="1" applyFont="1" applyFill="1" applyBorder="1" applyAlignment="1">
      <x:alignment horizontal="center" vertical="center"/>
    </x:xf>
    <x:xf numFmtId="203" fontId="13" fillId="15" borderId="9" xfId="0" applyNumberFormat="1" applyFont="1" applyFill="1" applyBorder="1" applyAlignment="1">
      <x:alignment horizontal="center" vertical="center"/>
    </x:xf>
    <x:xf numFmtId="203" fontId="13" fillId="15" borderId="10" xfId="0" applyNumberFormat="1" applyFont="1" applyFill="1" applyBorder="1" applyAlignment="1">
      <x:alignment horizontal="center" vertical="center"/>
    </x:xf>
    <x:xf numFmtId="203" fontId="13" fillId="15" borderId="11" xfId="0" applyNumberFormat="1" applyFont="1" applyFill="1" applyBorder="1" applyAlignment="1">
      <x:alignment horizontal="center" vertical="center"/>
    </x:xf>
    <x:xf numFmtId="0" fontId="14" fillId="9" borderId="0" xfId="0" applyNumberFormat="1" applyFont="1" applyFill="1" applyBorder="1"/>
    <x:xf numFmtId="0" fontId="14" fillId="9" borderId="12" xfId="0" applyNumberFormat="1" applyFont="1" applyFill="1" applyBorder="1"/>
    <x:xf numFmtId="0" fontId="14" fillId="9" borderId="13" xfId="0" applyNumberFormat="1" applyFont="1" applyFill="1" applyBorder="1"/>
    <x:xf numFmtId="0" fontId="14" fillId="9" borderId="14" xfId="0" applyNumberFormat="1" applyFont="1" applyFill="1" applyBorder="1"/>
    <x:xf numFmtId="0" fontId="14" fillId="9" borderId="12" xfId="0" applyNumberFormat="1" applyFont="1" applyFill="1" applyBorder="1" applyAlignment="1">
      <x:alignment vertical="center"/>
    </x:xf>
    <x:xf numFmtId="0" fontId="14" fillId="9" borderId="13" xfId="0" applyNumberFormat="1" applyFont="1" applyFill="1" applyBorder="1" applyAlignment="1">
      <x:alignment vertical="center"/>
    </x:xf>
    <x:xf numFmtId="0" fontId="14" fillId="9" borderId="14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6" fillId="3" borderId="15" xfId="0" applyNumberFormat="1" applyFont="1" applyFill="1" applyBorder="1" applyAlignment="1">
      <x:alignment wrapText="1"/>
    </x:xf>
    <x:xf numFmtId="0" fontId="15" fillId="3" borderId="15" xfId="0" applyNumberFormat="1" applyFont="1" applyFill="1" applyBorder="1" applyAlignment="1">
      <x:alignment wrapText="1"/>
    </x:xf>
    <x:xf numFmtId="0" fontId="16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4" fillId="7" borderId="0" xfId="0" applyNumberFormat="1" applyFont="1" applyFill="1" applyBorder="1"/>
    <x:xf numFmtId="0" fontId="14" fillId="7" borderId="16" xfId="0" applyNumberFormat="1" applyFont="1" applyFill="1" applyBorder="1"/>
    <x:xf numFmtId="0" fontId="14" fillId="7" borderId="17" xfId="0" applyNumberFormat="1" applyFont="1" applyFill="1" applyBorder="1"/>
    <x:xf numFmtId="0" fontId="14" fillId="7" borderId="18" xfId="0" applyNumberFormat="1" applyFont="1" applyFill="1" applyBorder="1"/>
    <x:xf numFmtId="0" fontId="14" fillId="7" borderId="16" xfId="0" applyNumberFormat="1" applyFont="1" applyFill="1" applyBorder="1" applyAlignment="1">
      <x:alignment vertical="center"/>
    </x:xf>
    <x:xf numFmtId="0" fontId="14" fillId="7" borderId="17" xfId="0" applyNumberFormat="1" applyFont="1" applyFill="1" applyBorder="1" applyAlignment="1">
      <x:alignment vertical="center"/>
    </x:xf>
    <x:xf numFmtId="0" fontId="14" fillId="7" borderId="18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17" fillId="8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horizontal="center"/>
    </x:xf>
    <x:xf numFmtId="202" fontId="0" fillId="0" borderId="15" xfId="0" applyNumberFormat="1" applyFont="1" applyFill="1" applyBorder="1" applyAlignment="1">
      <x:alignment horizontal="center"/>
    </x:xf>
    <x:xf numFmtId="0" fontId="18" fillId="11" borderId="0" xfId="0" applyNumberFormat="1" applyFont="1" applyFill="1" applyBorder="1"/>
    <x:xf numFmtId="0" fontId="18" fillId="11" borderId="4" xfId="0" applyNumberFormat="1" applyFont="1" applyFill="1" applyBorder="1"/>
    <x:xf numFmtId="0" fontId="18" fillId="11" borderId="5" xfId="0" applyNumberFormat="1" applyFont="1" applyFill="1" applyBorder="1"/>
    <x:xf numFmtId="0" fontId="18" fillId="11" borderId="6" xfId="0" applyNumberFormat="1" applyFont="1" applyFill="1" applyBorder="1"/>
    <x:xf numFmtId="0" fontId="18" fillId="11" borderId="7" xfId="0" applyNumberFormat="1" applyFont="1" applyFill="1" applyBorder="1"/>
    <x:xf numFmtId="0" fontId="18" fillId="11" borderId="8" xfId="0" applyNumberFormat="1" applyFont="1" applyFill="1" applyBorder="1"/>
    <x:xf numFmtId="0" fontId="18" fillId="11" borderId="9" xfId="0" applyNumberFormat="1" applyFont="1" applyFill="1" applyBorder="1"/>
    <x:xf numFmtId="0" fontId="18" fillId="11" borderId="10" xfId="0" applyNumberFormat="1" applyFont="1" applyFill="1" applyBorder="1"/>
    <x:xf numFmtId="0" fontId="18" fillId="11" borderId="11" xfId="0" applyNumberFormat="1" applyFont="1" applyFill="1" applyBorder="1"/>
    <x:xf numFmtId="0" fontId="18" fillId="11" borderId="4" xfId="0" applyNumberFormat="1" applyFont="1" applyFill="1" applyBorder="1" applyAlignment="1">
      <x:alignment wrapText="1"/>
    </x:xf>
    <x:xf numFmtId="0" fontId="18" fillId="11" borderId="5" xfId="0" applyNumberFormat="1" applyFont="1" applyFill="1" applyBorder="1" applyAlignment="1">
      <x:alignment wrapText="1"/>
    </x:xf>
    <x:xf numFmtId="0" fontId="18" fillId="11" borderId="6" xfId="0" applyNumberFormat="1" applyFont="1" applyFill="1" applyBorder="1" applyAlignment="1">
      <x:alignment wrapText="1"/>
    </x:xf>
    <x:xf numFmtId="0" fontId="18" fillId="11" borderId="7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wrapText="1"/>
    </x:xf>
    <x:xf numFmtId="0" fontId="18" fillId="11" borderId="8" xfId="0" applyNumberFormat="1" applyFont="1" applyFill="1" applyBorder="1" applyAlignment="1">
      <x:alignment wrapText="1"/>
    </x:xf>
    <x:xf numFmtId="0" fontId="18" fillId="11" borderId="9" xfId="0" applyNumberFormat="1" applyFont="1" applyFill="1" applyBorder="1" applyAlignment="1">
      <x:alignment wrapText="1"/>
    </x:xf>
    <x:xf numFmtId="0" fontId="18" fillId="11" borderId="10" xfId="0" applyNumberFormat="1" applyFont="1" applyFill="1" applyBorder="1" applyAlignment="1">
      <x:alignment wrapText="1"/>
    </x:xf>
    <x:xf numFmtId="0" fontId="18" fillId="11" borderId="11" xfId="0" applyNumberFormat="1" applyFont="1" applyFill="1" applyBorder="1" applyAlignment="1">
      <x:alignment wrapText="1"/>
    </x:xf>
    <x:xf numFmtId="0" fontId="18" fillId="11" borderId="4" xfId="0" applyNumberFormat="1" applyFont="1" applyFill="1" applyBorder="1" applyAlignment="1">
      <x:alignment vertical="center" wrapText="1"/>
    </x:xf>
    <x:xf numFmtId="0" fontId="18" fillId="11" borderId="5" xfId="0" applyNumberFormat="1" applyFont="1" applyFill="1" applyBorder="1" applyAlignment="1">
      <x:alignment vertical="center" wrapText="1"/>
    </x:xf>
    <x:xf numFmtId="0" fontId="18" fillId="11" borderId="6" xfId="0" applyNumberFormat="1" applyFont="1" applyFill="1" applyBorder="1" applyAlignment="1">
      <x:alignment vertical="center" wrapText="1"/>
    </x:xf>
    <x:xf numFmtId="0" fontId="18" fillId="11" borderId="7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 applyAlignment="1">
      <x:alignment vertical="center" wrapText="1"/>
    </x:xf>
    <x:xf numFmtId="0" fontId="18" fillId="11" borderId="8" xfId="0" applyNumberFormat="1" applyFont="1" applyFill="1" applyBorder="1" applyAlignment="1">
      <x:alignment vertical="center" wrapText="1"/>
    </x:xf>
    <x:xf numFmtId="0" fontId="18" fillId="11" borderId="9" xfId="0" applyNumberFormat="1" applyFont="1" applyFill="1" applyBorder="1" applyAlignment="1">
      <x:alignment vertical="center" wrapText="1"/>
    </x:xf>
    <x:xf numFmtId="0" fontId="18" fillId="11" borderId="10" xfId="0" applyNumberFormat="1" applyFont="1" applyFill="1" applyBorder="1" applyAlignment="1">
      <x:alignment vertical="center" wrapText="1"/>
    </x:xf>
    <x:xf numFmtId="0" fontId="18" fillId="11" borderId="11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4" fillId="12" borderId="19" xfId="0" applyNumberFormat="1" applyFont="1" applyFill="1" applyBorder="1"/>
    <x:xf numFmtId="0" fontId="14" fillId="12" borderId="20" xfId="0" applyNumberFormat="1" applyFont="1" applyFill="1" applyBorder="1"/>
    <x:xf numFmtId="0" fontId="14" fillId="12" borderId="21" xfId="0" applyNumberFormat="1" applyFont="1" applyFill="1" applyBorder="1"/>
    <x:xf numFmtId="0" fontId="14" fillId="12" borderId="19" xfId="0" applyNumberFormat="1" applyFont="1" applyFill="1" applyBorder="1" applyAlignment="1">
      <x:alignment vertical="center"/>
    </x:xf>
    <x:xf numFmtId="0" fontId="14" fillId="12" borderId="20" xfId="0" applyNumberFormat="1" applyFont="1" applyFill="1" applyBorder="1" applyAlignment="1">
      <x:alignment vertical="center"/>
    </x:xf>
    <x:xf numFmtId="0" fontId="14" fillId="12" borderId="21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/>
    <x:xf numFmtId="201" fontId="0" fillId="0" borderId="0" xfId="0" applyNumberFormat="1" applyFont="1" applyFill="1" applyBorder="1"/>
    <x:xf numFmtId="0" fontId="19" fillId="13" borderId="15" xfId="0" applyNumberFormat="1" applyFont="1" applyFill="1" applyBorder="1"/>
    <x:xf numFmtId="201" fontId="0" fillId="0" borderId="15" xfId="0" applyNumberFormat="1" applyFont="1" applyFill="1" applyBorder="1"/>
    <x:xf numFmtId="0" fontId="20" fillId="4" borderId="0" xfId="0" applyNumberFormat="1" applyFont="1" applyFill="1" applyBorder="1"/>
    <x:xf numFmtId="0" fontId="20" fillId="4" borderId="4" xfId="0" applyNumberFormat="1" applyFont="1" applyFill="1" applyBorder="1"/>
    <x:xf numFmtId="0" fontId="20" fillId="4" borderId="5" xfId="0" applyNumberFormat="1" applyFont="1" applyFill="1" applyBorder="1"/>
    <x:xf numFmtId="0" fontId="20" fillId="4" borderId="6" xfId="0" applyNumberFormat="1" applyFont="1" applyFill="1" applyBorder="1"/>
    <x:xf numFmtId="0" fontId="20" fillId="4" borderId="7" xfId="0" applyNumberFormat="1" applyFont="1" applyFill="1" applyBorder="1"/>
    <x:xf numFmtId="0" fontId="20" fillId="4" borderId="8" xfId="0" applyNumberFormat="1" applyFont="1" applyFill="1" applyBorder="1"/>
    <x:xf numFmtId="0" fontId="20" fillId="4" borderId="9" xfId="0" applyNumberFormat="1" applyFont="1" applyFill="1" applyBorder="1"/>
    <x:xf numFmtId="0" fontId="20" fillId="4" borderId="10" xfId="0" applyNumberFormat="1" applyFont="1" applyFill="1" applyBorder="1"/>
    <x:xf numFmtId="0" fontId="20" fillId="4" borderId="11" xfId="0" applyNumberFormat="1" applyFont="1" applyFill="1" applyBorder="1"/>
    <x:xf numFmtId="0" fontId="20" fillId="4" borderId="4" xfId="0" applyNumberFormat="1" applyFont="1" applyFill="1" applyBorder="1" applyAlignment="1">
      <x:alignment wrapText="1"/>
    </x:xf>
    <x:xf numFmtId="0" fontId="20" fillId="4" borderId="5" xfId="0" applyNumberFormat="1" applyFont="1" applyFill="1" applyBorder="1" applyAlignment="1">
      <x:alignment wrapText="1"/>
    </x:xf>
    <x:xf numFmtId="0" fontId="20" fillId="4" borderId="6" xfId="0" applyNumberFormat="1" applyFont="1" applyFill="1" applyBorder="1" applyAlignment="1">
      <x:alignment wrapText="1"/>
    </x:xf>
    <x:xf numFmtId="0" fontId="20" fillId="4" borderId="7" xfId="0" applyNumberFormat="1" applyFont="1" applyFill="1" applyBorder="1" applyAlignment="1">
      <x:alignment wrapText="1"/>
    </x:xf>
    <x:xf numFmtId="0" fontId="20" fillId="4" borderId="0" xfId="0" applyNumberFormat="1" applyFont="1" applyFill="1" applyBorder="1" applyAlignment="1">
      <x:alignment wrapText="1"/>
    </x:xf>
    <x:xf numFmtId="0" fontId="20" fillId="4" borderId="8" xfId="0" applyNumberFormat="1" applyFont="1" applyFill="1" applyBorder="1" applyAlignment="1">
      <x:alignment wrapText="1"/>
    </x:xf>
    <x:xf numFmtId="0" fontId="20" fillId="4" borderId="9" xfId="0" applyNumberFormat="1" applyFont="1" applyFill="1" applyBorder="1" applyAlignment="1">
      <x:alignment wrapText="1"/>
    </x:xf>
    <x:xf numFmtId="0" fontId="20" fillId="4" borderId="1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wrapText="1"/>
    </x:xf>
    <x:xf numFmtId="0" fontId="20" fillId="4" borderId="4" xfId="0" applyNumberFormat="1" applyFont="1" applyFill="1" applyBorder="1" applyAlignment="1">
      <x:alignment vertical="center" wrapText="1"/>
    </x:xf>
    <x:xf numFmtId="0" fontId="20" fillId="4" borderId="5" xfId="0" applyNumberFormat="1" applyFont="1" applyFill="1" applyBorder="1" applyAlignment="1">
      <x:alignment vertical="center" wrapText="1"/>
    </x:xf>
    <x:xf numFmtId="0" fontId="20" fillId="4" borderId="6" xfId="0" applyNumberFormat="1" applyFont="1" applyFill="1" applyBorder="1" applyAlignment="1">
      <x:alignment vertical="center" wrapText="1"/>
    </x:xf>
    <x:xf numFmtId="0" fontId="20" fillId="4" borderId="7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0" fontId="20" fillId="4" borderId="10" xfId="0" applyNumberFormat="1" applyFont="1" applyFill="1" applyBorder="1" applyAlignment="1">
      <x:alignment vertical="center" wrapText="1"/>
    </x:xf>
    <x:xf numFmtId="0" fontId="20" fillId="4" borderId="11" xfId="0" applyNumberFormat="1" applyFont="1" applyFill="1" applyBorder="1" applyAlignment="1">
      <x:alignment vertical="center" wrapText="1"/>
    </x:xf>
    <x:xf numFmtId="0" fontId="21" fillId="3" borderId="0" xfId="0" applyNumberFormat="1" applyFont="1" applyFill="1" applyBorder="1"/>
    <x:xf numFmtId="0" fontId="21" fillId="3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/>
    <x:xf numFmtId="0" fontId="14" fillId="2" borderId="22" xfId="0" applyNumberFormat="1" applyFont="1" applyFill="1" applyBorder="1"/>
    <x:xf numFmtId="0" fontId="14" fillId="2" borderId="23" xfId="0" applyNumberFormat="1" applyFont="1" applyFill="1" applyBorder="1"/>
    <x:xf numFmtId="0" fontId="14" fillId="2" borderId="24" xfId="0" applyNumberFormat="1" applyFont="1" applyFill="1" applyBorder="1"/>
    <x:xf numFmtId="0" fontId="14" fillId="2" borderId="22" xfId="0" applyNumberFormat="1" applyFont="1" applyFill="1" applyBorder="1" applyAlignment="1">
      <x:alignment wrapText="1"/>
    </x:xf>
    <x:xf numFmtId="0" fontId="14" fillId="2" borderId="23" xfId="0" applyNumberFormat="1" applyFont="1" applyFill="1" applyBorder="1" applyAlignment="1">
      <x:alignment wrapText="1"/>
    </x:xf>
    <x:xf numFmtId="0" fontId="14" fillId="2" borderId="24" xfId="0" applyNumberFormat="1" applyFont="1" applyFill="1" applyBorder="1" applyAlignment="1">
      <x:alignment wrapText="1"/>
    </x:xf>
    <x:xf numFmtId="0" fontId="14" fillId="2" borderId="22" xfId="0" applyNumberFormat="1" applyFont="1" applyFill="1" applyBorder="1" applyAlignment="1">
      <x:alignment horizontal="center" wrapText="1"/>
    </x:xf>
    <x:xf numFmtId="0" fontId="14" fillId="2" borderId="23" xfId="0" applyNumberFormat="1" applyFont="1" applyFill="1" applyBorder="1" applyAlignment="1">
      <x:alignment horizontal="center" wrapText="1"/>
    </x:xf>
    <x:xf numFmtId="0" fontId="14" fillId="2" borderId="24" xfId="0" applyNumberFormat="1" applyFont="1" applyFill="1" applyBorder="1" applyAlignment="1">
      <x:alignment horizontal="center" wrapText="1"/>
    </x:xf>
    <x:xf numFmtId="0" fontId="14" fillId="2" borderId="22" xfId="0" applyNumberFormat="1" applyFont="1" applyFill="1" applyBorder="1" applyAlignment="1">
      <x:alignment horizontal="center" vertical="center" wrapText="1"/>
    </x:xf>
    <x:xf numFmtId="0" fontId="14" fillId="2" borderId="23" xfId="0" applyNumberFormat="1" applyFont="1" applyFill="1" applyBorder="1" applyAlignment="1">
      <x:alignment horizontal="center" vertical="center" wrapText="1"/>
    </x:xf>
    <x:xf numFmtId="0" fontId="14" fillId="2" borderId="24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201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 applyAlignment="1">
      <x:alignment wrapText="1"/>
    </x:xf>
    <x:xf numFmtId="0" fontId="0" fillId="16" borderId="25" xfId="0" applyNumberFormat="1" applyFont="1" applyFill="1" applyBorder="1" applyAlignment="1">
      <x:alignment horizontal="center"/>
    </x:xf>
    <x:xf numFmtId="0" fontId="0" fillId="16" borderId="26" xfId="0" applyNumberFormat="1" applyFont="1" applyFill="1" applyBorder="1" applyAlignment="1">
      <x:alignment wrapText="1"/>
    </x:xf>
    <x:xf numFmtId="0" fontId="0" fillId="16" borderId="26" xfId="0" applyNumberFormat="1" applyFont="1" applyFill="1" applyBorder="1" applyAlignment="1">
      <x:alignment horizontal="center"/>
    </x:xf>
    <x:xf numFmtId="201" fontId="0" fillId="16" borderId="26" xfId="0" applyNumberFormat="1" applyFont="1" applyFill="1" applyBorder="1"/>
    <x:xf numFmtId="0" fontId="0" fillId="16" borderId="27" xfId="0" applyNumberFormat="1" applyFont="1" applyFill="1" applyBorder="1" applyAlignment="1">
      <x:alignment wrapText="1"/>
    </x:xf>
    <x:xf numFmtId="0" fontId="0" fillId="16" borderId="28" xfId="0" applyNumberFormat="1" applyFont="1" applyFill="1" applyBorder="1" applyAlignment="1">
      <x:alignment horizontal="center"/>
    </x:xf>
    <x:xf numFmtId="0" fontId="0" fillId="16" borderId="29" xfId="0" applyNumberFormat="1" applyFont="1" applyFill="1" applyBorder="1" applyAlignment="1">
      <x:alignment wrapText="1"/>
    </x:xf>
    <x:xf numFmtId="0" fontId="0" fillId="16" borderId="29" xfId="0" applyNumberFormat="1" applyFont="1" applyFill="1" applyBorder="1" applyAlignment="1">
      <x:alignment horizontal="center"/>
    </x:xf>
    <x:xf numFmtId="201" fontId="0" fillId="16" borderId="29" xfId="0" applyNumberFormat="1" applyFont="1" applyFill="1" applyBorder="1"/>
    <x:xf numFmtId="0" fontId="0" fillId="16" borderId="30" xfId="0" applyNumberFormat="1" applyFont="1" applyFill="1" applyBorder="1" applyAlignment="1">
      <x:alignment wrapText="1"/>
    </x:xf>
    <x:xf numFmtId="0" fontId="0" fillId="16" borderId="31" xfId="0" applyNumberFormat="1" applyFont="1" applyFill="1" applyBorder="1" applyAlignment="1">
      <x:alignment horizontal="center"/>
    </x:xf>
    <x:xf numFmtId="0" fontId="0" fillId="16" borderId="32" xfId="0" applyNumberFormat="1" applyFont="1" applyFill="1" applyBorder="1" applyAlignment="1">
      <x:alignment wrapText="1"/>
    </x:xf>
    <x:xf numFmtId="0" fontId="0" fillId="16" borderId="32" xfId="0" applyNumberFormat="1" applyFont="1" applyFill="1" applyBorder="1" applyAlignment="1">
      <x:alignment horizontal="center"/>
    </x:xf>
    <x:xf numFmtId="201" fontId="0" fillId="16" borderId="32" xfId="0" applyNumberFormat="1" applyFont="1" applyFill="1" applyBorder="1"/>
    <x:xf numFmtId="0" fontId="0" fillId="16" borderId="33" xfId="0" applyNumberFormat="1" applyFont="1" applyFill="1" applyBorder="1" applyAlignment="1">
      <x:alignment wrapText="1"/>
    </x:xf>
    <x:xf numFmtId="0" fontId="22" fillId="4" borderId="0" xfId="0" applyNumberFormat="1" applyFont="1" applyFill="1" applyBorder="1"/>
    <x:xf numFmtId="0" fontId="22" fillId="4" borderId="0" xfId="0" applyNumberFormat="1" applyFont="1" applyFill="1" applyBorder="1" applyAlignment="1">
      <x:alignment vertical="center"/>
    </x:xf>
    <x:xf numFmtId="0" fontId="23" fillId="4" borderId="0" xfId="0" applyNumberFormat="1" applyFont="1" applyFill="1" applyBorder="1" applyAlignment="1">
      <x:alignment vertical="center"/>
    </x:xf>
    <x:xf numFmtId="201" fontId="22" fillId="4" borderId="0" xfId="0" applyNumberFormat="1" applyFont="1" applyFill="1" applyBorder="1" applyAlignment="1">
      <x:alignment vertical="center"/>
    </x:xf>
    <x:xf numFmtId="202" fontId="22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horizontal="center"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wrapText="1"/>
    </x:xf>
    <x:xf numFmtId="202" fontId="0" fillId="0" borderId="26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horizontal="center" wrapText="1"/>
    </x:xf>
    <x:xf numFmtId="201" fontId="0" fillId="0" borderId="29" xfId="0" applyNumberFormat="1" applyFont="1" applyFill="1" applyBorder="1" applyAlignment="1">
      <x:alignment wrapText="1"/>
    </x:xf>
    <x:xf numFmtId="202" fontId="0" fillId="0" borderId="29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horizontal="center" wrapText="1"/>
    </x:xf>
    <x:xf numFmtId="201" fontId="0" fillId="0" borderId="32" xfId="0" applyNumberFormat="1" applyFont="1" applyFill="1" applyBorder="1" applyAlignment="1">
      <x:alignment wrapText="1"/>
    </x:xf>
    <x:xf numFmtId="202" fontId="0" fillId="0" borderId="32" xfId="0" applyNumberFormat="1" applyFont="1" applyFill="1" applyBorder="1" applyAlignment="1">
      <x:alignment horizontal="center"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horizontal="center" wrapText="1"/>
    </x:xf>
    <x:xf numFmtId="0" fontId="24" fillId="11" borderId="0" xfId="0" applyNumberFormat="1" applyFont="1" applyFill="1" applyBorder="1"/>
    <x:xf numFmtId="0" fontId="24" fillId="11" borderId="4" xfId="0" applyNumberFormat="1" applyFont="1" applyFill="1" applyBorder="1"/>
    <x:xf numFmtId="0" fontId="24" fillId="11" borderId="5" xfId="0" applyNumberFormat="1" applyFont="1" applyFill="1" applyBorder="1"/>
    <x:xf numFmtId="0" fontId="24" fillId="11" borderId="6" xfId="0" applyNumberFormat="1" applyFont="1" applyFill="1" applyBorder="1"/>
    <x:xf numFmtId="0" fontId="24" fillId="11" borderId="7" xfId="0" applyNumberFormat="1" applyFont="1" applyFill="1" applyBorder="1"/>
    <x:xf numFmtId="0" fontId="24" fillId="11" borderId="8" xfId="0" applyNumberFormat="1" applyFont="1" applyFill="1" applyBorder="1"/>
    <x:xf numFmtId="0" fontId="24" fillId="11" borderId="9" xfId="0" applyNumberFormat="1" applyFont="1" applyFill="1" applyBorder="1"/>
    <x:xf numFmtId="0" fontId="24" fillId="11" borderId="10" xfId="0" applyNumberFormat="1" applyFont="1" applyFill="1" applyBorder="1"/>
    <x:xf numFmtId="0" fontId="24" fillId="11" borderId="11" xfId="0" applyNumberFormat="1" applyFont="1" applyFill="1" applyBorder="1"/>
    <x:xf numFmtId="0" fontId="24" fillId="11" borderId="4" xfId="0" applyNumberFormat="1" applyFont="1" applyFill="1" applyBorder="1" applyAlignment="1">
      <x:alignment wrapText="1"/>
    </x:xf>
    <x:xf numFmtId="0" fontId="24" fillId="11" borderId="5" xfId="0" applyNumberFormat="1" applyFont="1" applyFill="1" applyBorder="1" applyAlignment="1">
      <x:alignment wrapText="1"/>
    </x:xf>
    <x:xf numFmtId="0" fontId="24" fillId="11" borderId="6" xfId="0" applyNumberFormat="1" applyFont="1" applyFill="1" applyBorder="1" applyAlignment="1">
      <x:alignment wrapText="1"/>
    </x:xf>
    <x:xf numFmtId="0" fontId="24" fillId="11" borderId="7" xfId="0" applyNumberFormat="1" applyFont="1" applyFill="1" applyBorder="1" applyAlignment="1">
      <x:alignment wrapText="1"/>
    </x:xf>
    <x:xf numFmtId="0" fontId="24" fillId="11" borderId="0" xfId="0" applyNumberFormat="1" applyFont="1" applyFill="1" applyBorder="1" applyAlignment="1">
      <x:alignment wrapText="1"/>
    </x:xf>
    <x:xf numFmtId="0" fontId="24" fillId="11" borderId="8" xfId="0" applyNumberFormat="1" applyFont="1" applyFill="1" applyBorder="1" applyAlignment="1">
      <x:alignment wrapText="1"/>
    </x:xf>
    <x:xf numFmtId="0" fontId="24" fillId="11" borderId="9" xfId="0" applyNumberFormat="1" applyFont="1" applyFill="1" applyBorder="1" applyAlignment="1">
      <x:alignment wrapText="1"/>
    </x:xf>
    <x:xf numFmtId="0" fontId="24" fillId="11" borderId="10" xfId="0" applyNumberFormat="1" applyFont="1" applyFill="1" applyBorder="1" applyAlignment="1">
      <x:alignment wrapText="1"/>
    </x:xf>
    <x:xf numFmtId="0" fontId="24" fillId="11" borderId="11" xfId="0" applyNumberFormat="1" applyFont="1" applyFill="1" applyBorder="1" applyAlignment="1">
      <x:alignment wrapText="1"/>
    </x:xf>
    <x:xf numFmtId="0" fontId="24" fillId="11" borderId="4" xfId="0" applyNumberFormat="1" applyFont="1" applyFill="1" applyBorder="1" applyAlignment="1">
      <x:alignment vertical="center" wrapText="1"/>
    </x:xf>
    <x:xf numFmtId="0" fontId="24" fillId="11" borderId="5" xfId="0" applyNumberFormat="1" applyFont="1" applyFill="1" applyBorder="1" applyAlignment="1">
      <x:alignment vertical="center" wrapText="1"/>
    </x:xf>
    <x:xf numFmtId="0" fontId="24" fillId="11" borderId="6" xfId="0" applyNumberFormat="1" applyFont="1" applyFill="1" applyBorder="1" applyAlignment="1">
      <x:alignment vertical="center" wrapText="1"/>
    </x:xf>
    <x:xf numFmtId="0" fontId="24" fillId="11" borderId="7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24" fillId="11" borderId="8" xfId="0" applyNumberFormat="1" applyFont="1" applyFill="1" applyBorder="1" applyAlignment="1">
      <x:alignment vertical="center" wrapText="1"/>
    </x:xf>
    <x:xf numFmtId="0" fontId="24" fillId="11" borderId="9" xfId="0" applyNumberFormat="1" applyFont="1" applyFill="1" applyBorder="1" applyAlignment="1">
      <x:alignment vertical="center" wrapText="1"/>
    </x:xf>
    <x:xf numFmtId="0" fontId="24" fillId="11" borderId="10" xfId="0" applyNumberFormat="1" applyFont="1" applyFill="1" applyBorder="1" applyAlignment="1">
      <x:alignment vertical="center" wrapText="1"/>
    </x:xf>
    <x:xf numFmtId="0" fontId="24" fillId="11" borderId="11" xfId="0" applyNumberFormat="1" applyFont="1" applyFill="1" applyBorder="1" applyAlignment="1">
      <x:alignment vertical="center" wrapText="1"/>
    </x:xf>
    <x:xf numFmtId="200" fontId="0" fillId="16" borderId="0" xfId="0" applyNumberFormat="1" applyFont="1" applyFill="1" applyBorder="1"/>
    <x:xf numFmtId="200" fontId="0" fillId="16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26" xfId="0" applyNumberFormat="1" applyFont="1" applyFill="1" applyBorder="1"/>
    <x:xf numFmtId="200" fontId="0" fillId="16" borderId="26" xfId="0" applyNumberFormat="1" applyFont="1" applyFill="1" applyBorder="1" applyAlignment="1">
      <x:alignment horizontal="center"/>
    </x:xf>
    <x:xf numFmtId="201" fontId="0" fillId="0" borderId="26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201" fontId="0" fillId="0" borderId="29" xfId="0" applyNumberFormat="1" applyFont="1" applyFill="1" applyBorder="1"/>
    <x:xf numFmtId="200" fontId="0" fillId="16" borderId="29" xfId="0" applyNumberFormat="1" applyFont="1" applyFill="1" applyBorder="1" applyAlignment="1">
      <x:alignment horizontal="center"/>
    </x:xf>
    <x:xf numFmtId="201" fontId="0" fillId="0" borderId="29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201" fontId="0" fillId="0" borderId="32" xfId="0" applyNumberFormat="1" applyFont="1" applyFill="1" applyBorder="1"/>
    <x:xf numFmtId="200" fontId="0" fillId="16" borderId="32" xfId="0" applyNumberFormat="1" applyFont="1" applyFill="1" applyBorder="1" applyAlignment="1">
      <x:alignment horizontal="center"/>
    </x:xf>
    <x:xf numFmtId="201" fontId="0" fillId="0" borderId="32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horizontal="center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wrapText="1"/>
    </x:xf>
    <x:xf numFmtId="201" fontId="0" fillId="16" borderId="0" xfId="0" applyNumberFormat="1" applyFont="1" applyFill="1" applyBorder="1" applyAlignment="1">
      <x:alignment horizontal="center"/>
    </x:xf>
    <x:xf numFmtId="201" fontId="0" fillId="16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201" fontId="0" fillId="16" borderId="32" xfId="0" applyNumberFormat="1" applyFont="1" applyFill="1" applyBorder="1" applyAlignment="1">
      <x:alignment horizontal="center"/>
    </x:xf>
    <x:xf numFmtId="0" fontId="0" fillId="0" borderId="33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 wrapText="1"/>
    </x:xf>
    <x:xf numFmtId="0" fontId="0" fillId="0" borderId="34" xfId="0" applyNumberFormat="1" applyFont="1" applyFill="1" applyBorder="1" applyAlignment="1">
      <x:alignment horizontal="center"/>
    </x:xf>
    <x:xf numFmtId="0" fontId="0" fillId="0" borderId="35" xfId="0" applyNumberFormat="1" applyFont="1" applyFill="1" applyBorder="1" applyAlignment="1">
      <x:alignment horizontal="center"/>
    </x:xf>
    <x:xf numFmtId="0" fontId="0" fillId="0" borderId="35" xfId="0" applyNumberFormat="1" applyFont="1" applyFill="1" applyBorder="1" applyAlignment="1">
      <x:alignment wrapText="1"/>
    </x:xf>
    <x:xf numFmtId="201" fontId="0" fillId="0" borderId="35" xfId="0" applyNumberFormat="1" applyFont="1" applyFill="1" applyBorder="1" applyAlignment="1">
      <x:alignment horizontal="center" wrapText="1"/>
    </x:xf>
    <x:xf numFmtId="0" fontId="0" fillId="0" borderId="36" xfId="0" applyNumberFormat="1" applyFont="1" applyFill="1" applyBorder="1" applyAlignment="1">
      <x:alignment horizontal="center" wrapText="1"/>
    </x:xf>
    <x:xf numFmtId="0" fontId="19" fillId="13" borderId="0" xfId="0" applyNumberFormat="1" applyFont="1" applyFill="1" applyBorder="1" applyAlignment="1">
      <x:alignment horizontal="center"/>
    </x:xf>
    <x:xf numFmtId="0" fontId="19" fillId="13" borderId="15" xfId="0" applyNumberFormat="1" applyFont="1" applyFill="1" applyBorder="1" applyAlignment="1">
      <x:alignment horizontal="center"/>
    </x:xf>
    <x:xf numFmtId="0" fontId="26" fillId="2" borderId="0" xfId="0" applyNumberFormat="1" applyFont="1" applyFill="1" applyBorder="1"/>
    <x:xf numFmtId="0" fontId="26" fillId="2" borderId="0" xfId="0" applyNumberFormat="1" applyFont="1" applyFill="1" applyBorder="1" applyAlignment="1">
      <x:alignment horizontal="center"/>
    </x:xf>
    <x:xf numFmtId="0" fontId="26" fillId="2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204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204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19" fillId="13" borderId="0" xfId="0" applyNumberFormat="1" applyFont="1" applyFill="1" applyBorder="1" applyAlignment="1">
      <x:alignment wrapText="1"/>
    </x:xf>
    <x:xf numFmtId="0" fontId="19" fillId="13" borderId="0" xfId="0" applyNumberFormat="1" applyFont="1" applyFill="1" applyBorder="1" applyAlignment="1">
      <x:alignment horizontal="center" wrapText="1"/>
    </x:xf>
    <x:xf numFmtId="0" fontId="19" fillId="13" borderId="15" xfId="0" applyNumberFormat="1" applyFont="1" applyFill="1" applyBorder="1" applyAlignment="1">
      <x:alignment horizontal="center" wrapText="1"/>
    </x:xf>
    <x:xf numFmtId="200" fontId="0" fillId="0" borderId="15" xfId="0" applyNumberFormat="1" applyFont="1" applyFill="1" applyBorder="1"/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B42318"/>
      </x:font>
      <x:fill>
        <x:patternFill>
          <x:bgColor rgb="FFFCECEC"/>
        </x:patternFill>
      </x:fill>
    </x:dxf>
    <x:dxf>
      <x:font>
        <x:b/>
        <x:color rgb="FF6B5CA5"/>
      </x:font>
      <x:fill>
        <x:patternFill>
          <x:bgColor rgb="FFF1EEFA"/>
        </x:patternFill>
      </x:fill>
    </x:dxf>
    <x:dxf>
      <x:font>
        <x:b/>
        <x:color rgb="FFB42318"/>
      </x:font>
      <x:fill>
        <x:patternFill>
          <x:bgColor rgb="FFFCECEC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2A7F78"/>
      </x:font>
      <x:fill>
        <x:patternFill>
          <x:bgColor rgb="FFE8F5F2"/>
        </x:patternFill>
      </x:fill>
    </x:dxf>
    <x:dxf>
      <x:font>
        <x:b/>
        <x:color rgb="FFB42318"/>
      </x:font>
      <x:fill>
        <x:patternFill>
          <x:bgColor rgb="FFFCECEC"/>
        </x:patternFill>
      </x:fill>
    </x:dxf>
    <x:dxf>
      <x:font>
        <x:b/>
        <x:color rgb="FFB76E00"/>
      </x:font>
      <x:fill>
        <x:patternFill>
          <x:bgColor rgb="FFFFF4E5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B42318"/>
      </x:font>
      <x:fill>
        <x:patternFill>
          <x:bgColor rgb="FFFCECEC"/>
        </x:patternFill>
      </x:fill>
    </x:dxf>
    <x:dxf>
      <x:font>
        <x:b/>
        <x:color rgb="FFFFFFFF"/>
      </x:font>
      <x:fill>
        <x:patternFill>
          <x:bgColor rgb="FF2E7D32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B42318"/>
      </x:font>
      <x:fill>
        <x:patternFill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c9d5f5c8342d5" /><Relationship Type="http://schemas.openxmlformats.org/officeDocument/2006/relationships/theme" Target="/xl/theme/theme1.xml" Id="R580f16aaca404cf1" /><Relationship Type="http://schemas.openxmlformats.org/officeDocument/2006/relationships/sharedStrings" Target="/xl/sharedStrings.xml" Id="R2d0e72c23c39428a" /><Relationship Type="http://schemas.openxmlformats.org/officeDocument/2006/relationships/worksheet" Target="/xl/worksheets/sheet1.xml" Id="R727c02bbe6d344d7" /><Relationship Type="http://schemas.openxmlformats.org/officeDocument/2006/relationships/worksheet" Target="/xl/worksheets/sheet2.xml" Id="R10e2cd72566a425b" /><Relationship Type="http://schemas.openxmlformats.org/officeDocument/2006/relationships/worksheet" Target="/xl/worksheets/sheet3.xml" Id="Rbe26615d70e747f7" /><Relationship Type="http://schemas.openxmlformats.org/officeDocument/2006/relationships/worksheet" Target="/xl/worksheets/sheet4.xml" Id="Re05ca52bedc74b2b" /><Relationship Type="http://schemas.openxmlformats.org/officeDocument/2006/relationships/worksheet" Target="/xl/worksheets/sheet5.xml" Id="R2b85c321bfd041b2" /><Relationship Type="http://schemas.openxmlformats.org/officeDocument/2006/relationships/worksheet" Target="/xl/worksheets/sheet6.xml" Id="R268e46b3f6e8474f" /><Relationship Type="http://schemas.openxmlformats.org/officeDocument/2006/relationships/worksheet" Target="/xl/worksheets/sheet7.xml" Id="Rae26e6d81b2f425f" /><Relationship Type="http://schemas.microsoft.com/office/2017/10/relationships/person" Target="/xl/persons/person.xml" Id="R3d8326593b5d4a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9135681f0e4d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Selected Customer Balances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Book Balance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'Audit Summary'!$A$28:$A$32</c:f>
              <c:strCache>
                <c:ptCount val="0"/>
              </c:strCache>
            </c:strRef>
          </c:cat>
          <c:val>
            <c:numRef>
              <c:f>'Audit Summary'!$B$28:$B$32</c:f>
              <c:numCache>
                <c:formatCode>"$"#,##0;[Red]("$"#,##0);-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26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9135681f0e4d6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anDAce07" id="{D574CBC3-B90C-4192-BB5F-9D14895AC198}"/>
</xltc:personList>
</file>

<file path=xl/tables/table1.xml><?xml version="1.0" encoding="utf-8"?>
<x:table xmlns:x="http://schemas.openxmlformats.org/spreadsheetml/2006/main" id="1" name="ARPopulationTable" displayName="ARPopulationTable" ref="A6:K20" headerRowCount="1">
  <x:autoFilter ref="A6:K20"/>
  <x:tableColumns count="11">
    <x:tableColumn id="1" name="Rank"/>
    <x:tableColumn id="2" name="Customer"/>
    <x:tableColumn id="3" name="Invoice Count"/>
    <x:tableColumn id="4" name="Total Balance"/>
    <x:tableColumn id="5" name="Overdue Balance"/>
    <x:tableColumn id="6" name="61-90"/>
    <x:tableColumn id="7" name="90+"/>
    <x:tableColumn id="8" name="Max Days Past Due"/>
    <x:tableColumn id="9" name="Risk Rating"/>
    <x:tableColumn id="10" name="Selected?"/>
    <x:tableColumn id="11" name="Selection 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SampleSelectionTable" displayName="SampleSelectionTable" ref="A6:H11" headerRowCount="1">
  <x:tableColumns count="8">
    <x:tableColumn id="1" name="Customer"/>
    <x:tableColumn id="2" name="Rank"/>
    <x:tableColumn id="3" name="Risk Rating"/>
    <x:tableColumn id="4" name="Book Balance"/>
    <x:tableColumn id="5" name="% Positive AR"/>
    <x:tableColumn id="6" name="Max DPD"/>
    <x:tableColumn id="7" name="Selection Rationale"/>
    <x:tableColumn id="8" name="Selection Type"/>
  </x:tableColumns>
  <x:tableStyleInfo name="TableStyleMedium2" showRowStripes="1"/>
</x:table>
</file>

<file path=xl/tables/table3.xml><?xml version="1.0" encoding="utf-8"?>
<x:table xmlns:x="http://schemas.openxmlformats.org/spreadsheetml/2006/main" id="3" name="ConfirmationLogTable" displayName="ConfirmationLogTable" ref="A6:M11" headerRowCount="1">
  <x:tableColumns count="13">
    <x:tableColumn id="1" name="Confirmation ID"/>
    <x:tableColumn id="2" name="Customer"/>
    <x:tableColumn id="3" name="Book Balance"/>
    <x:tableColumn id="4" name="Date Sent"/>
    <x:tableColumn id="5" name="Response Status"/>
    <x:tableColumn id="6" name="Response Date"/>
    <x:tableColumn id="7" name="Customer Stated Balance"/>
    <x:tableColumn id="8" name="Follow-up Date"/>
    <x:tableColumn id="9" name="Alt Procedures Required"/>
    <x:tableColumn id="10" name="Difference"/>
    <x:tableColumn id="11" name="Exception?"/>
    <x:tableColumn id="12" name="Final Result"/>
    <x:tableColumn id="13" name="Auditor Note"/>
  </x:tableColumns>
  <x:tableStyleInfo name="TableStyleMedium2" showRowStripes="1"/>
</x:table>
</file>

<file path=xl/tables/table4.xml><?xml version="1.0" encoding="utf-8"?>
<x:table xmlns:x="http://schemas.openxmlformats.org/spreadsheetml/2006/main" id="4" name="AlternativeProceduresTable" displayName="AlternativeProceduresTable" ref="A6:M8" headerRowCount="1">
  <x:tableColumns count="13">
    <x:tableColumn id="1" name="Alt Proc ID"/>
    <x:tableColumn id="2" name="Confirmation ID"/>
    <x:tableColumn id="3" name="Customer"/>
    <x:tableColumn id="4" name="Book Balance"/>
    <x:tableColumn id="5" name="Procedure Date"/>
    <x:tableColumn id="6" name="Invoice Support"/>
    <x:tableColumn id="7" name="Delivery / Acceptance"/>
    <x:tableColumn id="8" name="Subsequent Cash Date"/>
    <x:tableColumn id="9" name="Subsequent Cash Amount"/>
    <x:tableColumn id="10" name="Bank Reference"/>
    <x:tableColumn id="11" name="Procedure Conclusion"/>
    <x:tableColumn id="12" name="Auditor Notes"/>
    <x:tableColumn id="13" name="Evidence Check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6-30T01:44:05.09" personId="{D574CBC3-B90C-4192-BB5F-9D14895AC198}" id="{53074288-DFED-A60D-299D-AC528D9690C7}">
    <xltc:text>Workpaper AR-CONF-01 | Portfolio simulation | Synthetic data | As of 2026-06-30.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G4" dT="2026-06-30T01:44:05.093" personId="{D574CBC3-B90C-4192-BB5F-9D14895AC198}" id="{8660C9B4-C2C6-65EB-F4B3-2220A7D0086A}">
    <xltc:text>Selection is judgmental and nonstatistical; no claim is made that five items is a required sample size.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F7" dT="2026-06-30T01:44:05.093" personId="{D574CBC3-B90C-4192-BB5F-9D14895AC198}" id="{43B3884D-1532-61A1-DDD8-6ADC055D0A6C}">
    <xltc:text>Difference agrees to CONF-003 and is retained for management follow-up despite being below assumed materiality.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31d9d51478a48de" /><Relationship Type="http://schemas.openxmlformats.org/officeDocument/2006/relationships/vmlDrawing" Target="/xl/drawings/vmldrawing.vml" Id="R0ebb1a46461b4c5d" /><Relationship Type="http://schemas.microsoft.com/office/2017/10/relationships/threadedComment" Target="/xl/threadedcomments/threadedcomment.xml" Id="Rc29945ade3884a81" /><Relationship Type="http://schemas.openxmlformats.org/officeDocument/2006/relationships/drawing" Target="/xl/drawings/drawing1.xml" Id="R1cee72e010fe4b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b422e91cc3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9bdd4986dc4d4f4d" /><Relationship Type="http://schemas.openxmlformats.org/officeDocument/2006/relationships/vmlDrawing" Target="/xl/drawings/vmldrawing2.vml" Id="R8cf7391438dd4421" /><Relationship Type="http://schemas.microsoft.com/office/2017/10/relationships/threadedComment" Target="/xl/threadedcomments/threadedcomment2.xml" Id="R2079f7fe04ac43ca" /><Relationship Type="http://schemas.openxmlformats.org/officeDocument/2006/relationships/table" Target="/xl/tables/table2.xml" Id="R7f329c51bba84d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dd4de217b84f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7ff88639ad44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54ac1489bcda4162" /><Relationship Type="http://schemas.openxmlformats.org/officeDocument/2006/relationships/vmlDrawing" Target="/xl/drawings/vmldrawing3.vml" Id="R2b4f1ebfbb3241b9" /><Relationship Type="http://schemas.microsoft.com/office/2017/10/relationships/threadedComment" Target="/xl/threadedcomments/threadedcomment3.xml" Id="R6a432d1f7a794a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3" hidden="0" customWidth="1"/>
    <x:col min="10" max="10" width="29" hidden="0" customWidth="1"/>
    <x:col min="11" max="11" width="12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3" t="str">
        <x:v>AR Confirmation Audit Workpaper</x:v>
      </x:c>
      <x:c r="B1" s="3" t="str">
        <x:v>AR Confirmation Audit Workpaper</x:v>
      </x:c>
      <x:c r="C1" s="3" t="str">
        <x:v>AR Confirmation Audit Workpaper</x:v>
      </x:c>
      <x:c r="D1" s="3" t="str">
        <x:v>AR Confirmation Audit Workpaper</x:v>
      </x:c>
      <x:c r="E1" s="3" t="str">
        <x:v>AR Confirmation Audit Workpaper</x:v>
      </x:c>
      <x:c r="F1" s="3" t="str">
        <x:v>AR Confirmation Audit Workpaper</x:v>
      </x:c>
      <x:c r="G1" s="3" t="str">
        <x:v>AR Confirmation Audit Workpaper</x:v>
      </x:c>
      <x:c r="H1" s="3" t="str">
        <x:v>AR Confirmation Audit Workpaper</x:v>
      </x:c>
      <x:c r="I1" s="3" t="str">
        <x:v>AR Confirmation Audit Workpaper</x:v>
      </x:c>
      <x:c r="J1" s="3" t="str">
        <x:v>AR Confirmation Audit Workpaper</x:v>
      </x:c>
      <x:c r="K1" s="3" t="str">
        <x:v>AR Confirmation Audit Workpaper</x:v>
      </x:c>
      <x:c r="L1" s="3" t="str">
        <x:v>AR Confirmation Audit Workpaper</x:v>
      </x:c>
      <x:c r="M1" s="3" t="str">
        <x:v>AR Confirmation Audit Workpaper</x:v>
      </x:c>
      <x:c r="N1" s="3" t="str">
        <x:v>AR Confirmation Audit Workpaper</x:v>
      </x:c>
      <x:c r="O1" s="3" t="str">
        <x:v>AR Confirmation Audit Workpaper</x:v>
      </x:c>
    </x:row>
    <x:row r="2" ht="30" customHeight="1">
      <x:c r="A2" s="3" t="str">
        <x:v>AR Confirmation Audit Workpaper</x:v>
      </x:c>
      <x:c r="B2" s="3" t="str">
        <x:v>AR Confirmation Audit Workpaper</x:v>
      </x:c>
      <x:c r="C2" s="3" t="str">
        <x:v>AR Confirmation Audit Workpaper</x:v>
      </x:c>
      <x:c r="D2" s="3" t="str">
        <x:v>AR Confirmation Audit Workpaper</x:v>
      </x:c>
      <x:c r="E2" s="3" t="str">
        <x:v>AR Confirmation Audit Workpaper</x:v>
      </x:c>
      <x:c r="F2" s="3" t="str">
        <x:v>AR Confirmation Audit Workpaper</x:v>
      </x:c>
      <x:c r="G2" s="3" t="str">
        <x:v>AR Confirmation Audit Workpaper</x:v>
      </x:c>
      <x:c r="H2" s="3" t="str">
        <x:v>AR Confirmation Audit Workpaper</x:v>
      </x:c>
      <x:c r="I2" s="3" t="str">
        <x:v>AR Confirmation Audit Workpaper</x:v>
      </x:c>
      <x:c r="J2" s="3" t="str">
        <x:v>AR Confirmation Audit Workpaper</x:v>
      </x:c>
      <x:c r="K2" s="3" t="str">
        <x:v>AR Confirmation Audit Workpaper</x:v>
      </x:c>
      <x:c r="L2" s="3" t="str">
        <x:v>AR Confirmation Audit Workpaper</x:v>
      </x:c>
      <x:c r="M2" s="3" t="str">
        <x:v>AR Confirmation Audit Workpaper</x:v>
      </x:c>
      <x:c r="N2" s="3" t="str">
        <x:v>AR Confirmation Audit Workpaper</x:v>
      </x:c>
      <x:c r="O2" s="3" t="str">
        <x:v>AR Confirmation Audit Workpaper</x:v>
      </x:c>
    </x:row>
    <x:row r="3" ht="22" customHeight="1">
      <x:c r="A3" s="6" t="str">
        <x:v>Bayou Technical Services, LLC | Positive confirmation simulation | As of June 30, 2026</x:v>
      </x:c>
      <x:c r="B3" s="6" t="str">
        <x:v>Bayou Technical Services, LLC | Positive confirmation simulation | As of June 30, 2026</x:v>
      </x:c>
      <x:c r="C3" s="6" t="str">
        <x:v>Bayou Technical Services, LLC | Positive confirmation simulation | As of June 30, 2026</x:v>
      </x:c>
      <x:c r="D3" s="6" t="str">
        <x:v>Bayou Technical Services, LLC | Positive confirmation simulation | As of June 30, 2026</x:v>
      </x:c>
      <x:c r="E3" s="6" t="str">
        <x:v>Bayou Technical Services, LLC | Positive confirmation simulation | As of June 30, 2026</x:v>
      </x:c>
      <x:c r="F3" s="6" t="str">
        <x:v>Bayou Technical Services, LLC | Positive confirmation simulation | As of June 30, 2026</x:v>
      </x:c>
      <x:c r="G3" s="6" t="str">
        <x:v>Bayou Technical Services, LLC | Positive confirmation simulation | As of June 30, 2026</x:v>
      </x:c>
      <x:c r="H3" s="6" t="str">
        <x:v>Bayou Technical Services, LLC | Positive confirmation simulation | As of June 30, 2026</x:v>
      </x:c>
      <x:c r="I3" s="6" t="str">
        <x:v>Bayou Technical Services, LLC | Positive confirmation simulation | As of June 30, 2026</x:v>
      </x:c>
      <x:c r="J3" s="6" t="str">
        <x:v>Bayou Technical Services, LLC | Positive confirmation simulation | As of June 30, 2026</x:v>
      </x:c>
      <x:c r="K3" s="6" t="str">
        <x:v>Bayou Technical Services, LLC | Positive confirmation simulation | As of June 30, 2026</x:v>
      </x:c>
      <x:c r="L3" s="6" t="str">
        <x:v>Bayou Technical Services, LLC | Positive confirmation simulation | As of June 30, 2026</x:v>
      </x:c>
      <x:c r="M3" s="6" t="str">
        <x:v>Bayou Technical Services, LLC | Positive confirmation simulation | As of June 30, 2026</x:v>
      </x:c>
      <x:c r="N3" s="6" t="str">
        <x:v>Bayou Technical Services, LLC | Positive confirmation simulation | As of June 30, 2026</x:v>
      </x:c>
      <x:c r="O3" s="6" t="str">
        <x:v>Bayou Technical Services, LLC | Positive confirmation simulation | As of June 30, 2026</x:v>
      </x:c>
    </x:row>
    <x:row r="4">
      <x:c r="A4" s="14" t="str">
        <x:v>Workpaper ref</x:v>
      </x:c>
      <x:c r="B4" s="12" t="str">
        <x:v>AR-CONF-01</x:v>
      </x:c>
      <x:c r="C4" s="12"/>
      <x:c r="D4" s="12"/>
      <x:c r="E4" s="14" t="str">
        <x:v>Prepared by</x:v>
      </x:c>
      <x:c r="F4" s="14" t="str">
        <x:v>Prepared by</x:v>
      </x:c>
      <x:c r="G4" s="12" t="str">
        <x:v>Sandesh Lama Tamang</x:v>
      </x:c>
      <x:c r="H4" s="12"/>
      <x:c r="I4" s="12"/>
      <x:c r="J4" s="14" t="str">
        <x:v>Prepared</x:v>
      </x:c>
      <x:c r="K4" s="14" t="str">
        <x:v>Prepared</x:v>
      </x:c>
      <x:c r="L4" s="13" t="n">
        <x:v>46202</x:v>
      </x:c>
      <x:c r="M4" s="12"/>
      <x:c r="N4" s="14" t="str">
        <x:v>Status</x:v>
      </x:c>
      <x:c r="O4" s="17" t="str">
        <x:f>'Control Checks'!$B$4</x:f>
        <x:v>PASS</x:v>
      </x:c>
    </x:row>
    <x:row r="6">
      <x:c r="A6" s="25" t="str">
        <x:v>TOTAL AR POPULATION</x:v>
      </x:c>
      <x:c r="B6" s="26" t="str">
        <x:v>TOTAL AR POPULATION</x:v>
      </x:c>
      <x:c r="C6" s="27" t="str">
        <x:v>TOTAL AR POPULATION</x:v>
      </x:c>
      <x:c r="E6" s="73" t="str">
        <x:v>POSITIVE AR EXPOSURE</x:v>
      </x:c>
      <x:c r="F6" s="74" t="str">
        <x:v>POSITIVE AR EXPOSURE</x:v>
      </x:c>
      <x:c r="G6" s="75" t="str">
        <x:v>POSITIVE AR EXPOSURE</x:v>
      </x:c>
      <x:c r="I6" s="121" t="str">
        <x:v>SAMPLE BALANCE</x:v>
      </x:c>
      <x:c r="J6" s="122" t="str">
        <x:v>SAMPLE BALANCE</x:v>
      </x:c>
      <x:c r="K6" s="123" t="str">
        <x:v>SAMPLE BALANCE</x:v>
      </x:c>
      <x:c r="M6" s="168" t="str">
        <x:v>POSITIVE AR COVERAGE</x:v>
      </x:c>
      <x:c r="N6" s="169" t="str">
        <x:v>POSITIVE AR COVERAGE</x:v>
      </x:c>
      <x:c r="O6" s="170" t="str">
        <x:v>POSITIVE AR COVERAGE</x:v>
      </x:c>
    </x:row>
    <x:row r="7">
      <x:c r="A7" s="56" t="n">
        <x:f>SUM('AR Population'!$D$7:$D$20)</x:f>
        <x:v>311575</x:v>
      </x:c>
      <x:c r="B7" s="57"/>
      <x:c r="C7" s="58"/>
      <x:c r="E7" s="104" t="n">
        <x:f>SUMIF('AR Population'!$D$7:$D$20,"&gt;0",'AR Population'!$D$7:$D$20)</x:f>
        <x:v>313975</x:v>
      </x:c>
      <x:c r="F7" s="105"/>
      <x:c r="G7" s="106"/>
      <x:c r="I7" s="151" t="n">
        <x:f>SUM('Sample Selection'!$D$7:$D$11)</x:f>
        <x:v>206220</x:v>
      </x:c>
      <x:c r="J7" s="152"/>
      <x:c r="K7" s="153"/>
      <x:c r="M7" s="199" t="n">
        <x:f>IFERROR(I7/E7,0)</x:f>
        <x:v>0.6568038856596863</x:v>
      </x:c>
      <x:c r="N7" s="200"/>
      <x:c r="O7" s="201"/>
    </x:row>
    <x:row r="8">
      <x:c r="A8" s="59"/>
      <x:c r="B8" s="60"/>
      <x:c r="C8" s="61"/>
      <x:c r="E8" s="107"/>
      <x:c r="F8" s="108"/>
      <x:c r="G8" s="109"/>
      <x:c r="I8" s="154"/>
      <x:c r="J8" s="155"/>
      <x:c r="K8" s="156"/>
      <x:c r="M8" s="202"/>
      <x:c r="N8" s="203"/>
      <x:c r="O8" s="204"/>
    </x:row>
    <x:row r="9">
      <x:c r="A9" s="62"/>
      <x:c r="B9" s="63"/>
      <x:c r="C9" s="64"/>
      <x:c r="E9" s="110"/>
      <x:c r="F9" s="111"/>
      <x:c r="G9" s="112"/>
      <x:c r="I9" s="157"/>
      <x:c r="J9" s="158"/>
      <x:c r="K9" s="159"/>
      <x:c r="M9" s="205"/>
      <x:c r="N9" s="206"/>
      <x:c r="O9" s="207"/>
    </x:row>
    <x:row r="11">
      <x:c r="A11" s="25" t="str">
        <x:v>CONFIRMATIONS SENT</x:v>
      </x:c>
      <x:c r="B11" s="26" t="str">
        <x:v>CONFIRMATIONS SENT</x:v>
      </x:c>
      <x:c r="C11" s="27" t="str">
        <x:v>CONFIRMATIONS SENT</x:v>
      </x:c>
      <x:c r="E11" s="73" t="str">
        <x:v>RESPONSE RATE</x:v>
      </x:c>
      <x:c r="F11" s="74" t="str">
        <x:v>RESPONSE RATE</x:v>
      </x:c>
      <x:c r="G11" s="75" t="str">
        <x:v>RESPONSE RATE</x:v>
      </x:c>
      <x:c r="I11" s="288" t="str">
        <x:v>NONRESPONSES</x:v>
      </x:c>
      <x:c r="J11" s="289" t="str">
        <x:v>NONRESPONSES</x:v>
      </x:c>
      <x:c r="K11" s="290" t="str">
        <x:v>NONRESPONSES</x:v>
      </x:c>
      <x:c r="M11" s="336" t="str">
        <x:v>CONFIRMATION EXCEPTIONS</x:v>
      </x:c>
      <x:c r="N11" s="337" t="str">
        <x:v>CONFIRMATION EXCEPTIONS</x:v>
      </x:c>
      <x:c r="O11" s="338" t="str">
        <x:v>CONFIRMATION EXCEPTIONS</x:v>
      </x:c>
    </x:row>
    <x:row r="12">
      <x:c r="A12" s="235" t="n">
        <x:f>COUNTA('Confirmation Log'!$A$7:$A$11)</x:f>
        <x:v>5</x:v>
      </x:c>
      <x:c r="B12" s="236"/>
      <x:c r="C12" s="237"/>
      <x:c r="E12" s="271" t="n">
        <x:f>IFERROR(COUNTIF('Confirmation Log'!$E$7:$E$11,"Received")/A12,0)</x:f>
        <x:v>0.6</x:v>
      </x:c>
      <x:c r="F12" s="272"/>
      <x:c r="G12" s="273"/>
      <x:c r="I12" s="319" t="n">
        <x:f>COUNTIF('Confirmation Log'!$E$7:$E$11,"No Response")</x:f>
        <x:v>2</x:v>
      </x:c>
      <x:c r="J12" s="320"/>
      <x:c r="K12" s="321"/>
      <x:c r="M12" s="367" t="n">
        <x:f>COUNTIF('Confirmation Log'!$K$7:$K$11,"Yes")</x:f>
        <x:v>1</x:v>
      </x:c>
      <x:c r="N12" s="368"/>
      <x:c r="O12" s="369"/>
    </x:row>
    <x:row r="13">
      <x:c r="A13" s="238"/>
      <x:c r="B13" s="239"/>
      <x:c r="C13" s="240"/>
      <x:c r="E13" s="274"/>
      <x:c r="F13" s="275"/>
      <x:c r="G13" s="276"/>
      <x:c r="I13" s="322"/>
      <x:c r="J13" s="323"/>
      <x:c r="K13" s="324"/>
      <x:c r="M13" s="370"/>
      <x:c r="N13" s="371"/>
      <x:c r="O13" s="372"/>
    </x:row>
    <x:row r="14">
      <x:c r="A14" s="241"/>
      <x:c r="B14" s="242"/>
      <x:c r="C14" s="243"/>
      <x:c r="E14" s="277"/>
      <x:c r="F14" s="278"/>
      <x:c r="G14" s="279"/>
      <x:c r="I14" s="325"/>
      <x:c r="J14" s="326"/>
      <x:c r="K14" s="327"/>
      <x:c r="M14" s="373"/>
      <x:c r="N14" s="374"/>
      <x:c r="O14" s="375"/>
    </x:row>
    <x:row r="16">
      <x:c r="A16" s="380" t="str">
        <x:v>AUDIT APPROACH</x:v>
      </x:c>
      <x:c r="B16" s="381" t="str">
        <x:v>AUDIT APPROACH</x:v>
      </x:c>
      <x:c r="C16" s="381" t="str">
        <x:v>AUDIT APPROACH</x:v>
      </x:c>
      <x:c r="D16" s="381" t="str">
        <x:v>AUDIT APPROACH</x:v>
      </x:c>
      <x:c r="E16" s="381" t="str">
        <x:v>AUDIT APPROACH</x:v>
      </x:c>
      <x:c r="F16" s="381" t="str">
        <x:v>AUDIT APPROACH</x:v>
      </x:c>
      <x:c r="G16" s="381" t="str">
        <x:v>AUDIT APPROACH</x:v>
      </x:c>
      <x:c r="H16" s="382" t="str">
        <x:v>AUDIT APPROACH</x:v>
      </x:c>
      <x:c r="J16" s="396" t="str">
        <x:v>RESULT OVERVIEW</x:v>
      </x:c>
      <x:c r="K16" s="397" t="str">
        <x:v>RESULT OVERVIEW</x:v>
      </x:c>
      <x:c r="L16" s="397" t="str">
        <x:v>RESULT OVERVIEW</x:v>
      </x:c>
      <x:c r="M16" s="397" t="str">
        <x:v>RESULT OVERVIEW</x:v>
      </x:c>
      <x:c r="N16" s="397" t="str">
        <x:v>RESULT OVERVIEW</x:v>
      </x:c>
      <x:c r="O16" s="398" t="str">
        <x:v>RESULT OVERVIEW</x:v>
      </x:c>
    </x:row>
    <x:row r="17">
      <x:c r="A17" s="388" t="str">
        <x:v>Field</x:v>
      </x:c>
      <x:c r="B17" s="389" t="str">
        <x:v>Detail</x:v>
      </x:c>
      <x:c r="J17" s="403" t="str">
        <x:v>Result</x:v>
      </x:c>
      <x:c r="K17" s="403" t="str">
        <x:v>Count</x:v>
      </x:c>
      <x:c r="L17" s="403" t="str">
        <x:v>% of Sample</x:v>
      </x:c>
      <x:c r="M17" s="425" t="str">
        <x:f>IF('Control Checks'!$B$4="PASS","Testing is complete. Three customers responded, both nonresponses were supported by alternative procedures, and one $2,400 exception remains for management follow-up.","Review outstanding control failures before concluding.")</x:f>
        <x:v>Testing is complete. Three customers responded, both nonresponses were supported by alternative procedures, and one $2,400 exception remains for management follow-up.</x:v>
      </x:c>
      <x:c r="N17" s="426"/>
      <x:c r="O17" s="427"/>
    </x:row>
    <x:row r="18" ht="34" customHeight="1">
      <x:c r="A18" s="390" t="str">
        <x:v>Objective</x:v>
      </x:c>
      <x:c r="B18" s="391" t="str">
        <x:v>Obtain evidence over existence, rights and obligations, and valuation of recorded AR.</x:v>
      </x:c>
      <x:c r="J18" s="404" t="str">
        <x:v>Confirmed - No Exception</x:v>
      </x:c>
      <x:c r="K18" s="405" t="n">
        <x:f>COUNTIF('Confirmation Log'!$L$7:$L$11,J18)</x:f>
        <x:v>2</x:v>
      </x:c>
      <x:c r="L18" s="406" t="n">
        <x:f>IFERROR(K18/$A$12,0)</x:f>
        <x:v>0.4</x:v>
      </x:c>
      <x:c r="M18" s="428"/>
      <x:c r="N18" s="429"/>
      <x:c r="O18" s="430"/>
    </x:row>
    <x:row r="19" ht="34" customHeight="1">
      <x:c r="A19" s="390" t="str">
        <x:v>Sampling method</x:v>
      </x:c>
      <x:c r="B19" s="391" t="str">
        <x:v>Judgmental, nonstatistical selection of the five largest positive customer balances.</x:v>
      </x:c>
      <x:c r="J19" s="404" t="str">
        <x:v>Confirmed - Exception</x:v>
      </x:c>
      <x:c r="K19" s="405" t="n">
        <x:f>COUNTIF('Confirmation Log'!$L$7:$L$11,J19)</x:f>
        <x:v>1</x:v>
      </x:c>
      <x:c r="L19" s="406" t="n">
        <x:f>IFERROR(K19/$A$12,0)</x:f>
        <x:v>0.2</x:v>
      </x:c>
      <x:c r="M19" s="428"/>
      <x:c r="N19" s="429"/>
      <x:c r="O19" s="430"/>
    </x:row>
    <x:row r="20" ht="34" customHeight="1">
      <x:c r="A20" s="390" t="str">
        <x:v>Procedure</x:v>
      </x:c>
      <x:c r="B20" s="391" t="str">
        <x:v>Positive external confirmations; alternative procedures for nonresponses.</x:v>
      </x:c>
      <x:c r="J20" s="404" t="str">
        <x:v>Alternative Procedures - Supported</x:v>
      </x:c>
      <x:c r="K20" s="405" t="n">
        <x:f>COUNTIF('Confirmation Log'!$L$7:$L$11,J20)</x:f>
        <x:v>2</x:v>
      </x:c>
      <x:c r="L20" s="406" t="n">
        <x:f>IFERROR(K20/$A$12,0)</x:f>
        <x:v>0.4</x:v>
      </x:c>
      <x:c r="M20" s="428"/>
      <x:c r="N20" s="429"/>
      <x:c r="O20" s="430"/>
    </x:row>
    <x:row r="21" ht="34" customHeight="1">
      <x:c r="A21" s="390" t="str">
        <x:v>Planning materiality</x:v>
      </x:c>
      <x:c r="B21" s="391" t="str">
        <x:v>$50,000 (portfolio assumption)</x:v>
      </x:c>
      <x:c r="J21" s="404" t="str">
        <x:v>Open</x:v>
      </x:c>
      <x:c r="K21" s="405" t="n">
        <x:f>COUNTIF('Confirmation Log'!$L$7:$L$11,J21)</x:f>
        <x:v>0</x:v>
      </x:c>
      <x:c r="L21" s="406" t="n">
        <x:f>IFERROR(K21/$A$12,0)</x:f>
        <x:v>0</x:v>
      </x:c>
      <x:c r="M21" s="431"/>
      <x:c r="N21" s="432"/>
      <x:c r="O21" s="433"/>
    </x:row>
    <x:row r="22" ht="34" customHeight="1">
      <x:c r="A22" s="390" t="str">
        <x:v>Performance materiality</x:v>
      </x:c>
      <x:c r="B22" s="391" t="str">
        <x:v>$37,500 (portfolio assumption)</x:v>
      </x:c>
    </x:row>
    <x:row r="23" ht="34" customHeight="1">
      <x:c r="A23" s="390" t="str">
        <x:v>Population source</x:v>
      </x:c>
      <x:c r="B23" s="391" t="str">
        <x:v>Customer aging summary as of 2026-06-30.</x:v>
      </x:c>
    </x:row>
    <x:row r="26">
      <x:c r="A26" s="438" t="str">
        <x:v>SAMPLE BALANCE PROFILE</x:v>
      </x:c>
      <x:c r="B26" s="439" t="str">
        <x:v>SAMPLE BALANCE PROFILE</x:v>
      </x:c>
      <x:c r="C26" s="439" t="str">
        <x:v>SAMPLE BALANCE PROFILE</x:v>
      </x:c>
      <x:c r="D26" s="439" t="str">
        <x:v>SAMPLE BALANCE PROFILE</x:v>
      </x:c>
      <x:c r="E26" s="439" t="str">
        <x:v>SAMPLE BALANCE PROFILE</x:v>
      </x:c>
      <x:c r="F26" s="439" t="str">
        <x:v>SAMPLE BALANCE PROFILE</x:v>
      </x:c>
      <x:c r="G26" s="439" t="str">
        <x:v>SAMPLE BALANCE PROFILE</x:v>
      </x:c>
      <x:c r="H26" s="439" t="str">
        <x:v>SAMPLE BALANCE PROFILE</x:v>
      </x:c>
      <x:c r="I26" s="439" t="str">
        <x:v>SAMPLE BALANCE PROFILE</x:v>
      </x:c>
      <x:c r="J26" s="439" t="str">
        <x:v>SAMPLE BALANCE PROFILE</x:v>
      </x:c>
      <x:c r="K26" s="439" t="str">
        <x:v>SAMPLE BALANCE PROFILE</x:v>
      </x:c>
      <x:c r="L26" s="439" t="str">
        <x:v>SAMPLE BALANCE PROFILE</x:v>
      </x:c>
      <x:c r="M26" s="439" t="str">
        <x:v>SAMPLE BALANCE PROFILE</x:v>
      </x:c>
      <x:c r="N26" s="439" t="str">
        <x:v>SAMPLE BALANCE PROFILE</x:v>
      </x:c>
      <x:c r="O26" s="440" t="str">
        <x:v>SAMPLE BALANCE PROFILE</x:v>
      </x:c>
    </x:row>
    <x:row r="27">
      <x:c r="A27" s="443" t="str">
        <x:v>Customer</x:v>
      </x:c>
      <x:c r="B27" s="443" t="str">
        <x:v>Book Balance</x:v>
      </x:c>
    </x:row>
    <x:row r="28">
      <x:c r="A28" s="404" t="str">
        <x:f>'Sample Selection'!A7</x:f>
        <x:v>Gulf Coast Manufacturing</x:v>
      </x:c>
      <x:c r="B28" s="444" t="n">
        <x:f>'Sample Selection'!D7</x:f>
        <x:v>59200</x:v>
      </x:c>
    </x:row>
    <x:row r="29">
      <x:c r="A29" s="404" t="str">
        <x:f>'Sample Selection'!A8</x:f>
        <x:v>Delta Municipal Services</x:v>
      </x:c>
      <x:c r="B29" s="444" t="n">
        <x:f>'Sample Selection'!D8</x:f>
        <x:v>48120</x:v>
      </x:c>
    </x:row>
    <x:row r="30">
      <x:c r="A30" s="404" t="str">
        <x:f>'Sample Selection'!A9</x:f>
        <x:v>Acadia Health Partners</x:v>
      </x:c>
      <x:c r="B30" s="444" t="n">
        <x:f>'Sample Selection'!D9</x:f>
        <x:v>40650</x:v>
      </x:c>
    </x:row>
    <x:row r="31">
      <x:c r="A31" s="404" t="str">
        <x:f>'Sample Selection'!A10</x:f>
        <x:v>Bayou Industrial Supply</x:v>
      </x:c>
      <x:c r="B31" s="444" t="n">
        <x:f>'Sample Selection'!D10</x:f>
        <x:v>31750</x:v>
      </x:c>
    </x:row>
    <x:row r="32">
      <x:c r="A32" s="404" t="str">
        <x:f>'Sample Selection'!A11</x:f>
        <x:v>Jefferson Community Care</x:v>
      </x:c>
      <x:c r="B32" s="444" t="n">
        <x:f>'Sample Selection'!D11</x:f>
        <x:v>26500</x:v>
      </x:c>
    </x:row>
    <x:row r="46">
      <x:c r="A46" s="463" t="str">
        <x:v>Portfolio simulation only — fictional client, synthetic data, and assumed materiality. This workpaper does not represent an audit opinion or prescribe a required sample size.</x:v>
      </x:c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5"/>
    </x:row>
    <x:row r="47">
      <x:c r="A47" s="466"/>
      <x:c r="B47" s="467"/>
      <x:c r="C47" s="467"/>
      <x:c r="D47" s="467"/>
      <x:c r="E47" s="467"/>
      <x:c r="F47" s="467"/>
      <x:c r="G47" s="467"/>
      <x:c r="H47" s="467"/>
      <x:c r="I47" s="467"/>
      <x:c r="J47" s="467"/>
      <x:c r="K47" s="467"/>
      <x:c r="L47" s="467"/>
      <x:c r="M47" s="467"/>
      <x:c r="N47" s="467"/>
      <x:c r="O47" s="468"/>
    </x:row>
    <x:row r="48">
      <x:c r="A48" s="469"/>
      <x:c r="B48" s="470"/>
      <x:c r="C48" s="470"/>
      <x:c r="D48" s="470"/>
      <x:c r="E48" s="470"/>
      <x:c r="F48" s="470"/>
      <x:c r="G48" s="470"/>
      <x:c r="H48" s="470"/>
      <x:c r="I48" s="470"/>
      <x:c r="J48" s="470"/>
      <x:c r="K48" s="470"/>
      <x:c r="L48" s="470"/>
      <x:c r="M48" s="470"/>
      <x:c r="N48" s="470"/>
      <x:c r="O48" s="471"/>
    </x:row>
  </x:sheetData>
  <x:mergeCells>
    <x:mergeCell ref="A1:O2"/>
    <x:mergeCell ref="A3:O3"/>
    <x:mergeCell ref="B4:C4"/>
    <x:mergeCell ref="E4:F4"/>
    <x:mergeCell ref="G4:H4"/>
    <x:mergeCell ref="J4:K4"/>
    <x:mergeCell ref="L4:M4"/>
    <x:mergeCell ref="A6:C6"/>
    <x:mergeCell ref="A7:C9"/>
    <x:mergeCell ref="E6:G6"/>
    <x:mergeCell ref="E7:G9"/>
    <x:mergeCell ref="I6:K6"/>
    <x:mergeCell ref="I7:K9"/>
    <x:mergeCell ref="M6:O6"/>
    <x:mergeCell ref="M7:O9"/>
    <x:mergeCell ref="A11:C11"/>
    <x:mergeCell ref="A12:C14"/>
    <x:mergeCell ref="E11:G11"/>
    <x:mergeCell ref="E12:G14"/>
    <x:mergeCell ref="I11:K11"/>
    <x:mergeCell ref="I12:K14"/>
    <x:mergeCell ref="M11:O11"/>
    <x:mergeCell ref="M12:O14"/>
    <x:mergeCell ref="A16:H16"/>
    <x:mergeCell ref="J16:O16"/>
    <x:mergeCell ref="M17:O21"/>
    <x:mergeCell ref="A26:O26"/>
    <x:mergeCell ref="A46:O48"/>
  </x:mergeCells>
  <x:pageMargins left="0.7" right="0.7" top="0.75" bottom="0.75" header="0.3" footer="0.3"/>
  <x:drawing xmlns:r="http://schemas.openxmlformats.org/officeDocument/2006/relationships" r:id="R1cee72e010fe4b78"/>
  <x:legacyDrawing xmlns:r="http://schemas.openxmlformats.org/officeDocument/2006/relationships" r:id="R0ebb1a46461b4c5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13" hidden="0" customWidth="1"/>
    <x:col min="4" max="4" width="16" hidden="0" customWidth="1"/>
    <x:col min="5" max="5" width="17" hidden="0" customWidth="1"/>
    <x:col min="6" max="6" width="14" hidden="0" customWidth="1"/>
    <x:col min="7" max="7" width="14" hidden="0" customWidth="1"/>
    <x:col min="8" max="8" width="17" hidden="0" customWidth="1"/>
    <x:col min="9" max="9" width="14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Accounts Receivable Population</x:v>
      </x:c>
      <x:c r="B1" s="3" t="str">
        <x:v>Accounts Receivable Population</x:v>
      </x:c>
      <x:c r="C1" s="3" t="str">
        <x:v>Accounts Receivable Population</x:v>
      </x:c>
      <x:c r="D1" s="3" t="str">
        <x:v>Accounts Receivable Population</x:v>
      </x:c>
      <x:c r="E1" s="3" t="str">
        <x:v>Accounts Receivable Population</x:v>
      </x:c>
      <x:c r="F1" s="3" t="str">
        <x:v>Accounts Receivable Population</x:v>
      </x:c>
      <x:c r="G1" s="3" t="str">
        <x:v>Accounts Receivable Population</x:v>
      </x:c>
      <x:c r="H1" s="3" t="str">
        <x:v>Accounts Receivable Population</x:v>
      </x:c>
      <x:c r="I1" s="3" t="str">
        <x:v>Accounts Receivable Population</x:v>
      </x:c>
      <x:c r="J1" s="3" t="str">
        <x:v>Accounts Receivable Population</x:v>
      </x:c>
      <x:c r="K1" s="3" t="str">
        <x:v>Accounts Receivable Population</x:v>
      </x:c>
    </x:row>
    <x:row r="2" ht="30" customHeight="1">
      <x:c r="A2" s="3" t="str">
        <x:v>Accounts Receivable Population</x:v>
      </x:c>
      <x:c r="B2" s="3" t="str">
        <x:v>Accounts Receivable Population</x:v>
      </x:c>
      <x:c r="C2" s="3" t="str">
        <x:v>Accounts Receivable Population</x:v>
      </x:c>
      <x:c r="D2" s="3" t="str">
        <x:v>Accounts Receivable Population</x:v>
      </x:c>
      <x:c r="E2" s="3" t="str">
        <x:v>Accounts Receivable Population</x:v>
      </x:c>
      <x:c r="F2" s="3" t="str">
        <x:v>Accounts Receivable Population</x:v>
      </x:c>
      <x:c r="G2" s="3" t="str">
        <x:v>Accounts Receivable Population</x:v>
      </x:c>
      <x:c r="H2" s="3" t="str">
        <x:v>Accounts Receivable Population</x:v>
      </x:c>
      <x:c r="I2" s="3" t="str">
        <x:v>Accounts Receivable Population</x:v>
      </x:c>
      <x:c r="J2" s="3" t="str">
        <x:v>Accounts Receivable Population</x:v>
      </x:c>
      <x:c r="K2" s="3" t="str">
        <x:v>Accounts Receivable Population</x:v>
      </x:c>
    </x:row>
    <x:row r="3" ht="22" customHeight="1">
      <x:c r="A3" s="6" t="str">
        <x:v>Complete synthetic customer population tied to the AR aging dashboard as of June 30, 2026</x:v>
      </x:c>
      <x:c r="B3" s="6" t="str">
        <x:v>Complete synthetic customer population tied to the AR aging dashboard as of June 30, 2026</x:v>
      </x:c>
      <x:c r="C3" s="6" t="str">
        <x:v>Complete synthetic customer population tied to the AR aging dashboard as of June 30, 2026</x:v>
      </x:c>
      <x:c r="D3" s="6" t="str">
        <x:v>Complete synthetic customer population tied to the AR aging dashboard as of June 30, 2026</x:v>
      </x:c>
      <x:c r="E3" s="6" t="str">
        <x:v>Complete synthetic customer population tied to the AR aging dashboard as of June 30, 2026</x:v>
      </x:c>
      <x:c r="F3" s="6" t="str">
        <x:v>Complete synthetic customer population tied to the AR aging dashboard as of June 30, 2026</x:v>
      </x:c>
      <x:c r="G3" s="6" t="str">
        <x:v>Complete synthetic customer population tied to the AR aging dashboard as of June 30, 2026</x:v>
      </x:c>
      <x:c r="H3" s="6" t="str">
        <x:v>Complete synthetic customer population tied to the AR aging dashboard as of June 30, 2026</x:v>
      </x:c>
      <x:c r="I3" s="6" t="str">
        <x:v>Complete synthetic customer population tied to the AR aging dashboard as of June 30, 2026</x:v>
      </x:c>
      <x:c r="J3" s="6" t="str">
        <x:v>Complete synthetic customer population tied to the AR aging dashboard as of June 30, 2026</x:v>
      </x:c>
      <x:c r="K3" s="6" t="str">
        <x:v>Complete synthetic customer population tied to the AR aging dashboard as of June 30, 2026</x:v>
      </x:c>
    </x:row>
    <x:row r="4">
      <x:c r="A4" s="473" t="str">
        <x:v>Blue input columns originate from confirmation_population.csv. Selected items are the five largest positive balances; the credit balance is excluded from the positive sampling frame.</x:v>
      </x:c>
      <x:c r="B4" s="473"/>
      <x:c r="C4" s="473"/>
      <x:c r="D4" s="473"/>
      <x:c r="E4" s="473"/>
      <x:c r="F4" s="473"/>
      <x:c r="G4" s="473"/>
      <x:c r="H4" s="473"/>
      <x:c r="I4" s="473"/>
      <x:c r="J4" s="473"/>
      <x:c r="K4" s="473"/>
    </x:row>
    <x:row r="6" ht="34" customHeight="1">
      <x:c r="A6" s="484" t="str">
        <x:v>Rank</x:v>
      </x:c>
      <x:c r="B6" s="485" t="str">
        <x:v>Customer</x:v>
      </x:c>
      <x:c r="C6" s="485" t="str">
        <x:v>Invoice Count</x:v>
      </x:c>
      <x:c r="D6" s="485" t="str">
        <x:v>Total Balance</x:v>
      </x:c>
      <x:c r="E6" s="485" t="str">
        <x:v>Overdue Balance</x:v>
      </x:c>
      <x:c r="F6" s="485" t="str">
        <x:v>61-90</x:v>
      </x:c>
      <x:c r="G6" s="485" t="str">
        <x:v>90+</x:v>
      </x:c>
      <x:c r="H6" s="485" t="str">
        <x:v>Max Days Past Due</x:v>
      </x:c>
      <x:c r="I6" s="485" t="str">
        <x:v>Risk Rating</x:v>
      </x:c>
      <x:c r="J6" s="485" t="str">
        <x:v>Selected?</x:v>
      </x:c>
      <x:c r="K6" s="486" t="str">
        <x:v>Selection Rationale</x:v>
      </x:c>
    </x:row>
    <x:row r="7" ht="30" customHeight="1">
      <x:c r="A7" s="491" t="n">
        <x:v>1</x:v>
      </x:c>
      <x:c r="B7" s="492" t="str">
        <x:v>Gulf Coast Manufacturing</x:v>
      </x:c>
      <x:c r="C7" s="493" t="n">
        <x:v>1</x:v>
      </x:c>
      <x:c r="D7" s="494" t="n">
        <x:v>59200</x:v>
      </x:c>
      <x:c r="E7" s="494" t="n">
        <x:v>59200</x:v>
      </x:c>
      <x:c r="F7" s="494" t="n">
        <x:v>0</x:v>
      </x:c>
      <x:c r="G7" s="494" t="n">
        <x:v>59200</x:v>
      </x:c>
      <x:c r="H7" s="493" t="n">
        <x:v>194</x:v>
      </x:c>
      <x:c r="I7" s="493" t="str">
        <x:v>High</x:v>
      </x:c>
      <x:c r="J7" s="493" t="str">
        <x:v>Yes</x:v>
      </x:c>
      <x:c r="K7" s="495" t="str">
        <x:v>Largest positive balance and entirely 90+ days past due</x:v>
      </x:c>
    </x:row>
    <x:row r="8" ht="30" customHeight="1">
      <x:c r="A8" s="496" t="n">
        <x:v>2</x:v>
      </x:c>
      <x:c r="B8" s="497" t="str">
        <x:v>Delta Municipal Services</x:v>
      </x:c>
      <x:c r="C8" s="498" t="n">
        <x:v>1</x:v>
      </x:c>
      <x:c r="D8" s="499" t="n">
        <x:v>48120</x:v>
      </x:c>
      <x:c r="E8" s="499" t="n">
        <x:v>48120</x:v>
      </x:c>
      <x:c r="F8" s="499" t="n">
        <x:v>0</x:v>
      </x:c>
      <x:c r="G8" s="499" t="n">
        <x:v>48120</x:v>
      </x:c>
      <x:c r="H8" s="498" t="n">
        <x:v>162</x:v>
      </x:c>
      <x:c r="I8" s="498" t="str">
        <x:v>High</x:v>
      </x:c>
      <x:c r="J8" s="498" t="str">
        <x:v>Yes</x:v>
      </x:c>
      <x:c r="K8" s="500" t="str">
        <x:v>Second-largest balance and entirely 90+ days past due</x:v>
      </x:c>
    </x:row>
    <x:row r="9" ht="30" customHeight="1">
      <x:c r="A9" s="496" t="n">
        <x:v>3</x:v>
      </x:c>
      <x:c r="B9" s="497" t="str">
        <x:v>Acadia Health Partners</x:v>
      </x:c>
      <x:c r="C9" s="498" t="n">
        <x:v>2</x:v>
      </x:c>
      <x:c r="D9" s="499" t="n">
        <x:v>40650</x:v>
      </x:c>
      <x:c r="E9" s="499" t="n">
        <x:v>40650</x:v>
      </x:c>
      <x:c r="F9" s="499" t="n">
        <x:v>18250</x:v>
      </x:c>
      <x:c r="G9" s="499" t="n">
        <x:v>22400</x:v>
      </x:c>
      <x:c r="H9" s="498" t="n">
        <x:v>112</x:v>
      </x:c>
      <x:c r="I9" s="498" t="str">
        <x:v>High</x:v>
      </x:c>
      <x:c r="J9" s="498" t="str">
        <x:v>Yes</x:v>
      </x:c>
      <x:c r="K9" s="500" t="str">
        <x:v>Multiple overdue invoices across aged buckets</x:v>
      </x:c>
    </x:row>
    <x:row r="10" ht="30" customHeight="1">
      <x:c r="A10" s="496" t="n">
        <x:v>4</x:v>
      </x:c>
      <x:c r="B10" s="497" t="str">
        <x:v>Bayou Industrial Supply</x:v>
      </x:c>
      <x:c r="C10" s="498" t="n">
        <x:v>1</x:v>
      </x:c>
      <x:c r="D10" s="499" t="n">
        <x:v>31750</x:v>
      </x:c>
      <x:c r="E10" s="499" t="n">
        <x:v>31750</x:v>
      </x:c>
      <x:c r="F10" s="499" t="n">
        <x:v>0</x:v>
      </x:c>
      <x:c r="G10" s="499" t="n">
        <x:v>31750</x:v>
      </x:c>
      <x:c r="H10" s="498" t="n">
        <x:v>146</x:v>
      </x:c>
      <x:c r="I10" s="498" t="str">
        <x:v>High</x:v>
      </x:c>
      <x:c r="J10" s="498" t="str">
        <x:v>Yes</x:v>
      </x:c>
      <x:c r="K10" s="500" t="str">
        <x:v>Fourth-largest balance and entirely 90+ days past due</x:v>
      </x:c>
    </x:row>
    <x:row r="11" ht="30" customHeight="1">
      <x:c r="A11" s="496" t="n">
        <x:v>5</x:v>
      </x:c>
      <x:c r="B11" s="497" t="str">
        <x:v>Jefferson Community Care</x:v>
      </x:c>
      <x:c r="C11" s="498" t="n">
        <x:v>1</x:v>
      </x:c>
      <x:c r="D11" s="499" t="n">
        <x:v>26500</x:v>
      </x:c>
      <x:c r="E11" s="499" t="n">
        <x:v>26500</x:v>
      </x:c>
      <x:c r="F11" s="499" t="n">
        <x:v>0</x:v>
      </x:c>
      <x:c r="G11" s="499" t="n">
        <x:v>26500</x:v>
      </x:c>
      <x:c r="H11" s="498" t="n">
        <x:v>152</x:v>
      </x:c>
      <x:c r="I11" s="498" t="str">
        <x:v>High</x:v>
      </x:c>
      <x:c r="J11" s="498" t="str">
        <x:v>Yes</x:v>
      </x:c>
      <x:c r="K11" s="500" t="str">
        <x:v>Fifth-largest balance and entirely 90+ days past due</x:v>
      </x:c>
    </x:row>
    <x:row r="12" ht="30" customHeight="1">
      <x:c r="A12" s="496" t="n">
        <x:v>6</x:v>
      </x:c>
      <x:c r="B12" s="497" t="str">
        <x:v>Orchid Wholesale</x:v>
      </x:c>
      <x:c r="C12" s="498" t="n">
        <x:v>1</x:v>
      </x:c>
      <x:c r="D12" s="499" t="n">
        <x:v>20875</x:v>
      </x:c>
      <x:c r="E12" s="499" t="n">
        <x:v>20875</x:v>
      </x:c>
      <x:c r="F12" s="499" t="n">
        <x:v>0</x:v>
      </x:c>
      <x:c r="G12" s="499" t="n">
        <x:v>20875</x:v>
      </x:c>
      <x:c r="H12" s="498" t="n">
        <x:v>125</x:v>
      </x:c>
      <x:c r="I12" s="498" t="str">
        <x:v>High</x:v>
      </x:c>
      <x:c r="J12" s="498" t="str">
        <x:v>No</x:v>
      </x:c>
      <x:c r="K12" s="500" t="str">
        <x:v>Not selected after target coverage was achieved</x:v>
      </x:c>
    </x:row>
    <x:row r="13" ht="30" customHeight="1">
      <x:c r="A13" s="496" t="n">
        <x:v>7</x:v>
      </x:c>
      <x:c r="B13" s="497" t="str">
        <x:v>Ivory Tech Consulting</x:v>
      </x:c>
      <x:c r="C13" s="498" t="n">
        <x:v>1</x:v>
      </x:c>
      <x:c r="D13" s="499" t="n">
        <x:v>17110</x:v>
      </x:c>
      <x:c r="E13" s="499" t="n">
        <x:v>17110</x:v>
      </x:c>
      <x:c r="F13" s="499" t="n">
        <x:v>0</x:v>
      </x:c>
      <x:c r="G13" s="499" t="n">
        <x:v>17110</x:v>
      </x:c>
      <x:c r="H13" s="498" t="n">
        <x:v>119</x:v>
      </x:c>
      <x:c r="I13" s="498" t="str">
        <x:v>High</x:v>
      </x:c>
      <x:c r="J13" s="498" t="str">
        <x:v>No</x:v>
      </x:c>
      <x:c r="K13" s="500" t="str">
        <x:v>Not selected after target coverage was achieved</x:v>
      </x:c>
    </x:row>
    <x:row r="14" ht="30" customHeight="1">
      <x:c r="A14" s="496" t="n">
        <x:v>8</x:v>
      </x:c>
      <x:c r="B14" s="497" t="str">
        <x:v>Evergreen Medical Labs</x:v>
      </x:c>
      <x:c r="C14" s="498" t="n">
        <x:v>1</x:v>
      </x:c>
      <x:c r="D14" s="499" t="n">
        <x:v>14220</x:v>
      </x:c>
      <x:c r="E14" s="499" t="n">
        <x:v>14220</x:v>
      </x:c>
      <x:c r="F14" s="499" t="n">
        <x:v>0</x:v>
      </x:c>
      <x:c r="G14" s="499" t="n">
        <x:v>0</x:v>
      </x:c>
      <x:c r="H14" s="498" t="n">
        <x:v>50</x:v>
      </x:c>
      <x:c r="I14" s="498" t="str">
        <x:v>Medium</x:v>
      </x:c>
      <x:c r="J14" s="498" t="str">
        <x:v>No</x:v>
      </x:c>
      <x:c r="K14" s="500" t="str">
        <x:v>Lower balance and aging risk than selected items</x:v>
      </x:c>
    </x:row>
    <x:row r="15" ht="30" customHeight="1">
      <x:c r="A15" s="496" t="n">
        <x:v>9</x:v>
      </x:c>
      <x:c r="B15" s="497" t="str">
        <x:v>North Delta Equipment</x:v>
      </x:c>
      <x:c r="C15" s="498" t="n">
        <x:v>1</x:v>
      </x:c>
      <x:c r="D15" s="499" t="n">
        <x:v>13450</x:v>
      </x:c>
      <x:c r="E15" s="499" t="n">
        <x:v>13450</x:v>
      </x:c>
      <x:c r="F15" s="499" t="n">
        <x:v>0</x:v>
      </x:c>
      <x:c r="G15" s="499" t="n">
        <x:v>0</x:v>
      </x:c>
      <x:c r="H15" s="498" t="n">
        <x:v>19</x:v>
      </x:c>
      <x:c r="I15" s="498" t="str">
        <x:v>Low</x:v>
      </x:c>
      <x:c r="J15" s="498" t="str">
        <x:v>No</x:v>
      </x:c>
      <x:c r="K15" s="500" t="str">
        <x:v>Recent overdue balance below selection threshold</x:v>
      </x:c>
    </x:row>
    <x:row r="16" ht="30" customHeight="1">
      <x:c r="A16" s="496" t="n">
        <x:v>10</x:v>
      </x:c>
      <x:c r="B16" s="497" t="str">
        <x:v>Frontier Logistics</x:v>
      </x:c>
      <x:c r="C16" s="498" t="n">
        <x:v>1</x:v>
      </x:c>
      <x:c r="D16" s="499" t="n">
        <x:v>12500</x:v>
      </x:c>
      <x:c r="E16" s="499" t="n">
        <x:v>12500</x:v>
      </x:c>
      <x:c r="F16" s="499" t="n">
        <x:v>12500</x:v>
      </x:c>
      <x:c r="G16" s="499" t="n">
        <x:v>0</x:v>
      </x:c>
      <x:c r="H16" s="498" t="n">
        <x:v>61</x:v>
      </x:c>
      <x:c r="I16" s="498" t="str">
        <x:v>Medium</x:v>
      </x:c>
      <x:c r="J16" s="498" t="str">
        <x:v>No</x:v>
      </x:c>
      <x:c r="K16" s="500" t="str">
        <x:v>Lower balance and aging risk than selected items</x:v>
      </x:c>
    </x:row>
    <x:row r="17" ht="30" customHeight="1">
      <x:c r="A17" s="496" t="n">
        <x:v>11</x:v>
      </x:c>
      <x:c r="B17" s="497" t="str">
        <x:v>Lafayette Public Works</x:v>
      </x:c>
      <x:c r="C17" s="498" t="n">
        <x:v>1</x:v>
      </x:c>
      <x:c r="D17" s="499" t="n">
        <x:v>11200</x:v>
      </x:c>
      <x:c r="E17" s="499" t="n">
        <x:v>0</x:v>
      </x:c>
      <x:c r="F17" s="499" t="n">
        <x:v>0</x:v>
      </x:c>
      <x:c r="G17" s="499" t="n">
        <x:v>0</x:v>
      </x:c>
      <x:c r="H17" s="498"/>
      <x:c r="I17" s="498" t="str">
        <x:v>High</x:v>
      </x:c>
      <x:c r="J17" s="498" t="str">
        <x:v>No</x:v>
      </x:c>
      <x:c r="K17" s="500" t="str">
        <x:v>Missing due date retained as a population data-quality item</x:v>
      </x:c>
    </x:row>
    <x:row r="18" ht="30" customHeight="1">
      <x:c r="A18" s="496" t="n">
        <x:v>12</x:v>
      </x:c>
      <x:c r="B18" s="497" t="str">
        <x:v>Crescent Retail Group</x:v>
      </x:c>
      <x:c r="C18" s="498" t="n">
        <x:v>1</x:v>
      </x:c>
      <x:c r="D18" s="499" t="n">
        <x:v>9600</x:v>
      </x:c>
      <x:c r="E18" s="499" t="n">
        <x:v>9600</x:v>
      </x:c>
      <x:c r="F18" s="499" t="n">
        <x:v>0</x:v>
      </x:c>
      <x:c r="G18" s="499" t="n">
        <x:v>0</x:v>
      </x:c>
      <x:c r="H18" s="498" t="n">
        <x:v>11</x:v>
      </x:c>
      <x:c r="I18" s="498" t="str">
        <x:v>Low</x:v>
      </x:c>
      <x:c r="J18" s="498" t="str">
        <x:v>No</x:v>
      </x:c>
      <x:c r="K18" s="500" t="str">
        <x:v>Recent overdue balance below selection threshold</x:v>
      </x:c>
    </x:row>
    <x:row r="19" ht="30" customHeight="1">
      <x:c r="A19" s="496" t="n">
        <x:v>13</x:v>
      </x:c>
      <x:c r="B19" s="497" t="str">
        <x:v>Harbor Energy Co.</x:v>
      </x:c>
      <x:c r="C19" s="498" t="n">
        <x:v>1</x:v>
      </x:c>
      <x:c r="D19" s="499" t="n">
        <x:v>8800</x:v>
      </x:c>
      <x:c r="E19" s="499" t="n">
        <x:v>8800</x:v>
      </x:c>
      <x:c r="F19" s="499" t="n">
        <x:v>0</x:v>
      </x:c>
      <x:c r="G19" s="499" t="n">
        <x:v>0</x:v>
      </x:c>
      <x:c r="H19" s="498" t="n">
        <x:v>23</x:v>
      </x:c>
      <x:c r="I19" s="498" t="str">
        <x:v>Low</x:v>
      </x:c>
      <x:c r="J19" s="498" t="str">
        <x:v>No</x:v>
      </x:c>
      <x:c r="K19" s="500" t="str">
        <x:v>Recent overdue balance below selection threshold</x:v>
      </x:c>
    </x:row>
    <x:row r="20" ht="30" customHeight="1">
      <x:c r="A20" s="501" t="n">
        <x:v>14</x:v>
      </x:c>
      <x:c r="B20" s="502" t="str">
        <x:v>Keystone Distribution</x:v>
      </x:c>
      <x:c r="C20" s="503" t="n">
        <x:v>1</x:v>
      </x:c>
      <x:c r="D20" s="504" t="n">
        <x:v>-2400</x:v>
      </x:c>
      <x:c r="E20" s="504" t="n">
        <x:v>0</x:v>
      </x:c>
      <x:c r="F20" s="504" t="n">
        <x:v>-2400</x:v>
      </x:c>
      <x:c r="G20" s="504" t="n">
        <x:v>0</x:v>
      </x:c>
      <x:c r="H20" s="503" t="n">
        <x:v>72</x:v>
      </x:c>
      <x:c r="I20" s="503" t="str">
        <x:v>High</x:v>
      </x:c>
      <x:c r="J20" s="503" t="str">
        <x:v>No</x:v>
      </x:c>
      <x:c r="K20" s="505" t="str">
        <x:v>Credit balance excluded from positive confirmation sampling frame</x:v>
      </x:c>
    </x:row>
    <x:row r="23">
      <x:c r="A23" s="467" t="str">
        <x:v>Source: accounts-receivable/ar-aging-dashboard/customer_aging_summary_asof_2026-06-30.csv. The audit project retains the full $311,575 net balance and separately identifies $313,975 of positive exposure.</x:v>
      </x:c>
      <x:c r="B23" s="467"/>
      <x:c r="C23" s="467"/>
      <x:c r="D23" s="467"/>
      <x:c r="E23" s="467"/>
      <x:c r="F23" s="467"/>
      <x:c r="G23" s="467"/>
      <x:c r="H23" s="467"/>
      <x:c r="I23" s="467"/>
      <x:c r="J23" s="467"/>
      <x:c r="K23" s="467"/>
    </x:row>
    <x:row r="24">
      <x:c r="A24" s="467"/>
      <x:c r="B24" s="467"/>
      <x:c r="C24" s="467"/>
      <x:c r="D24" s="467"/>
      <x:c r="E24" s="467"/>
      <x:c r="F24" s="467"/>
      <x:c r="G24" s="467"/>
      <x:c r="H24" s="467"/>
      <x:c r="I24" s="467"/>
      <x:c r="J24" s="467"/>
      <x:c r="K24" s="467"/>
    </x:row>
  </x:sheetData>
  <x:mergeCells>
    <x:mergeCell ref="A1:K2"/>
    <x:mergeCell ref="A3:K3"/>
    <x:mergeCell ref="A4:K4"/>
    <x:mergeCell ref="A23:K24"/>
  </x:mergeCells>
  <x:conditionalFormatting sqref="J7:J20">
    <x:cfRule type="containsText" dxfId="0" priority="1" operator="containsText" text="Yes"/>
  </x:conditionalFormatting>
  <x:conditionalFormatting sqref="I7:I20">
    <x:cfRule type="containsText" dxfId="1" priority="2" operator="containsText" text="High"/>
  </x:conditionalFormatting>
  <x:conditionalFormatting sqref="D7:D20">
    <x:cfRule type="cellIs" dxfId="2" priority="3" operator="lessThan">
      <x:formula>0</x:formula>
    </x:cfRule>
  </x:conditionalFormatting>
  <x:dataValidations count="2">
    <x:dataValidation type="list" sqref="I7:I20">
      <x:formula1>"High,Medium,Low"</x:formula1>
    </x:dataValidation>
    <x:dataValidation type="list" sqref="J7:J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b422e91cc34d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" hidden="0" customWidth="1"/>
    <x:col min="3" max="3" width="14" hidden="0" customWidth="1"/>
    <x:col min="4" max="4" width="16" hidden="0" customWidth="1"/>
    <x:col min="5" max="5" width="24" hidden="0" customWidth="1"/>
    <x:col min="6" max="6" width="14" hidden="0" customWidth="1"/>
    <x:col min="7" max="7" width="50" hidden="0" customWidth="1"/>
    <x:col min="8" max="8" width="24" hidden="0" customWidth="1"/>
  </x:cols>
  <x:sheetData>
    <x:row r="1" ht="30" customHeight="1">
      <x:c r="A1" s="3" t="str">
        <x:v>Sample Selection</x:v>
      </x:c>
      <x:c r="B1" s="3" t="str">
        <x:v>Sample Selection</x:v>
      </x:c>
      <x:c r="C1" s="3" t="str">
        <x:v>Sample Selection</x:v>
      </x:c>
      <x:c r="D1" s="3" t="str">
        <x:v>Sample Selection</x:v>
      </x:c>
      <x:c r="E1" s="3" t="str">
        <x:v>Sample Selection</x:v>
      </x:c>
      <x:c r="F1" s="3" t="str">
        <x:v>Sample Selection</x:v>
      </x:c>
      <x:c r="G1" s="3" t="str">
        <x:v>Sample Selection</x:v>
      </x:c>
      <x:c r="H1" s="3" t="str">
        <x:v>Sample Selection</x:v>
      </x:c>
    </x:row>
    <x:row r="2" ht="30" customHeight="1">
      <x:c r="A2" s="3" t="str">
        <x:v>Sample Selection</x:v>
      </x:c>
      <x:c r="B2" s="3" t="str">
        <x:v>Sample Selection</x:v>
      </x:c>
      <x:c r="C2" s="3" t="str">
        <x:v>Sample Selection</x:v>
      </x:c>
      <x:c r="D2" s="3" t="str">
        <x:v>Sample Selection</x:v>
      </x:c>
      <x:c r="E2" s="3" t="str">
        <x:v>Sample Selection</x:v>
      </x:c>
      <x:c r="F2" s="3" t="str">
        <x:v>Sample Selection</x:v>
      </x:c>
      <x:c r="G2" s="3" t="str">
        <x:v>Sample Selection</x:v>
      </x:c>
      <x:c r="H2" s="3" t="str">
        <x:v>Sample Selection</x:v>
      </x:c>
    </x:row>
    <x:row r="3" ht="22" customHeight="1">
      <x:c r="A3" s="6" t="str">
        <x:v>Judgmental selection of the five largest positive customer balances based on value and aging risk</x:v>
      </x:c>
      <x:c r="B3" s="6" t="str">
        <x:v>Judgmental selection of the five largest positive customer balances based on value and aging risk</x:v>
      </x:c>
      <x:c r="C3" s="6" t="str">
        <x:v>Judgmental selection of the five largest positive customer balances based on value and aging risk</x:v>
      </x:c>
      <x:c r="D3" s="6" t="str">
        <x:v>Judgmental selection of the five largest positive customer balances based on value and aging risk</x:v>
      </x:c>
      <x:c r="E3" s="6" t="str">
        <x:v>Judgmental selection of the five largest positive customer balances based on value and aging risk</x:v>
      </x:c>
      <x:c r="F3" s="6" t="str">
        <x:v>Judgmental selection of the five largest positive customer balances based on value and aging risk</x:v>
      </x:c>
      <x:c r="G3" s="6" t="str">
        <x:v>Judgmental selection of the five largest positive customer balances based on value and aging risk</x:v>
      </x:c>
      <x:c r="H3" s="6" t="str">
        <x:v>Judgmental selection of the five largest positive customer balances based on value and aging risk</x:v>
      </x:c>
    </x:row>
    <x:row r="4">
      <x:c r="A4" s="508" t="str">
        <x:v>Sample total</x:v>
      </x:c>
      <x:c r="B4" s="509" t="n">
        <x:f>SUM(D7:D11)</x:f>
        <x:v>206220</x:v>
      </x:c>
      <x:c r="C4" s="508" t="str">
        <x:v>Coverage</x:v>
      </x:c>
      <x:c r="D4" s="510" t="n">
        <x:f>IFERROR(B4/'Audit Summary'!$E$7,0)</x:f>
        <x:v>0.6568038856596863</x:v>
      </x:c>
      <x:c r="E4" s="508" t="str">
        <x:v>Performance materiality</x:v>
      </x:c>
      <x:c r="F4" s="509" t="n">
        <x:v>37500</x:v>
      </x:c>
      <x:c r="G4" s="508" t="str">
        <x:v>Selection type</x:v>
      </x:c>
      <x:c r="H4" s="507" t="str">
        <x:v>Judgmental / nonstatistical</x:v>
      </x:c>
    </x:row>
    <x:row r="6" ht="34" customHeight="1">
      <x:c r="A6" s="484" t="str">
        <x:v>Customer</x:v>
      </x:c>
      <x:c r="B6" s="485" t="str">
        <x:v>Rank</x:v>
      </x:c>
      <x:c r="C6" s="485" t="str">
        <x:v>Risk Rating</x:v>
      </x:c>
      <x:c r="D6" s="485" t="str">
        <x:v>Book Balance</x:v>
      </x:c>
      <x:c r="E6" s="485" t="str">
        <x:v>% Positive AR</x:v>
      </x:c>
      <x:c r="F6" s="485" t="str">
        <x:v>Max DPD</x:v>
      </x:c>
      <x:c r="G6" s="485" t="str">
        <x:v>Selection Rationale</x:v>
      </x:c>
      <x:c r="H6" s="486" t="str">
        <x:v>Selection Type</x:v>
      </x:c>
    </x:row>
    <x:row r="7" ht="34" customHeight="1">
      <x:c r="A7" s="515" t="str">
        <x:f>'AR Population'!B7</x:f>
        <x:v>Gulf Coast Manufacturing</x:v>
      </x:c>
      <x:c r="B7" s="516" t="n">
        <x:f>'AR Population'!A7</x:f>
        <x:v>1</x:v>
      </x:c>
      <x:c r="C7" s="516" t="str">
        <x:f>'AR Population'!I7</x:f>
        <x:v>High</x:v>
      </x:c>
      <x:c r="D7" s="517" t="n">
        <x:f>'AR Population'!D7</x:f>
        <x:v>59200</x:v>
      </x:c>
      <x:c r="E7" s="518" t="n">
        <x:f>IFERROR(D7/'Audit Summary'!$E$7,0)</x:f>
        <x:v>0.18855004379329565</x:v>
      </x:c>
      <x:c r="F7" s="516" t="n">
        <x:f>'AR Population'!H7</x:f>
        <x:v>194</x:v>
      </x:c>
      <x:c r="G7" s="519" t="str">
        <x:f>'AR Population'!K7</x:f>
        <x:v>Largest positive balance and entirely 90+ days past due</x:v>
      </x:c>
      <x:c r="H7" s="520" t="str">
        <x:v>Judgmental</x:v>
      </x:c>
    </x:row>
    <x:row r="8" ht="34" customHeight="1">
      <x:c r="A8" s="521" t="str">
        <x:f>'AR Population'!B8</x:f>
        <x:v>Delta Municipal Services</x:v>
      </x:c>
      <x:c r="B8" s="522" t="n">
        <x:f>'AR Population'!A8</x:f>
        <x:v>2</x:v>
      </x:c>
      <x:c r="C8" s="522" t="str">
        <x:f>'AR Population'!I8</x:f>
        <x:v>High</x:v>
      </x:c>
      <x:c r="D8" s="523" t="n">
        <x:f>'AR Population'!D8</x:f>
        <x:v>48120</x:v>
      </x:c>
      <x:c r="E8" s="524" t="n">
        <x:f>IFERROR(D8/'Audit Summary'!$E$7,0)</x:f>
        <x:v>0.15326060992117208</x:v>
      </x:c>
      <x:c r="F8" s="522" t="n">
        <x:f>'AR Population'!H8</x:f>
        <x:v>162</x:v>
      </x:c>
      <x:c r="G8" s="525" t="str">
        <x:f>'AR Population'!K8</x:f>
        <x:v>Second-largest balance and entirely 90+ days past due</x:v>
      </x:c>
      <x:c r="H8" s="526" t="str">
        <x:v>Judgmental</x:v>
      </x:c>
    </x:row>
    <x:row r="9" ht="34" customHeight="1">
      <x:c r="A9" s="521" t="str">
        <x:f>'AR Population'!B9</x:f>
        <x:v>Acadia Health Partners</x:v>
      </x:c>
      <x:c r="B9" s="522" t="n">
        <x:f>'AR Population'!A9</x:f>
        <x:v>3</x:v>
      </x:c>
      <x:c r="C9" s="522" t="str">
        <x:f>'AR Population'!I9</x:f>
        <x:v>High</x:v>
      </x:c>
      <x:c r="D9" s="523" t="n">
        <x:f>'AR Population'!D9</x:f>
        <x:v>40650</x:v>
      </x:c>
      <x:c r="E9" s="524" t="n">
        <x:f>IFERROR(D9/'Audit Summary'!$E$7,0)</x:f>
        <x:v>0.12946890676009237</x:v>
      </x:c>
      <x:c r="F9" s="522" t="n">
        <x:f>'AR Population'!H9</x:f>
        <x:v>112</x:v>
      </x:c>
      <x:c r="G9" s="525" t="str">
        <x:f>'AR Population'!K9</x:f>
        <x:v>Multiple overdue invoices across aged buckets</x:v>
      </x:c>
      <x:c r="H9" s="526" t="str">
        <x:v>Judgmental</x:v>
      </x:c>
    </x:row>
    <x:row r="10" ht="34" customHeight="1">
      <x:c r="A10" s="521" t="str">
        <x:f>'AR Population'!B10</x:f>
        <x:v>Bayou Industrial Supply</x:v>
      </x:c>
      <x:c r="B10" s="522" t="n">
        <x:f>'AR Population'!A10</x:f>
        <x:v>4</x:v>
      </x:c>
      <x:c r="C10" s="522" t="str">
        <x:f>'AR Population'!I10</x:f>
        <x:v>High</x:v>
      </x:c>
      <x:c r="D10" s="523" t="n">
        <x:f>'AR Population'!D10</x:f>
        <x:v>31750</x:v>
      </x:c>
      <x:c r="E10" s="524" t="n">
        <x:f>IFERROR(D10/'Audit Summary'!$E$7,0)</x:f>
        <x:v>0.10112270085197866</x:v>
      </x:c>
      <x:c r="F10" s="522" t="n">
        <x:f>'AR Population'!H10</x:f>
        <x:v>146</x:v>
      </x:c>
      <x:c r="G10" s="525" t="str">
        <x:f>'AR Population'!K10</x:f>
        <x:v>Fourth-largest balance and entirely 90+ days past due</x:v>
      </x:c>
      <x:c r="H10" s="526" t="str">
        <x:v>Judgmental</x:v>
      </x:c>
    </x:row>
    <x:row r="11" ht="34" customHeight="1">
      <x:c r="A11" s="527" t="str">
        <x:f>'AR Population'!B11</x:f>
        <x:v>Jefferson Community Care</x:v>
      </x:c>
      <x:c r="B11" s="528" t="n">
        <x:f>'AR Population'!A11</x:f>
        <x:v>5</x:v>
      </x:c>
      <x:c r="C11" s="528" t="str">
        <x:f>'AR Population'!I11</x:f>
        <x:v>High</x:v>
      </x:c>
      <x:c r="D11" s="529" t="n">
        <x:f>'AR Population'!D11</x:f>
        <x:v>26500</x:v>
      </x:c>
      <x:c r="E11" s="530" t="n">
        <x:f>IFERROR(D11/'Audit Summary'!$E$7,0)</x:f>
        <x:v>0.08440162433314755</x:v>
      </x:c>
      <x:c r="F11" s="528" t="n">
        <x:f>'AR Population'!H11</x:f>
        <x:v>152</x:v>
      </x:c>
      <x:c r="G11" s="531" t="str">
        <x:f>'AR Population'!K11</x:f>
        <x:v>Fifth-largest balance and entirely 90+ days past due</x:v>
      </x:c>
      <x:c r="H11" s="532" t="str">
        <x:v>Judgmental</x:v>
      </x:c>
    </x:row>
    <x:row r="14">
      <x:c r="A14" s="551" t="str">
        <x:v>Sampling note: This is a documented judgmental selection for a portfolio simulation. It does not represent a statistically projected sample or a prescribed sample size under professional standards.</x:v>
      </x:c>
      <x:c r="B14" s="552"/>
      <x:c r="C14" s="552"/>
      <x:c r="D14" s="552"/>
      <x:c r="E14" s="552"/>
      <x:c r="F14" s="552"/>
      <x:c r="G14" s="552"/>
      <x:c r="H14" s="553"/>
    </x:row>
    <x:row r="15">
      <x:c r="A15" s="554"/>
      <x:c r="B15" s="555"/>
      <x:c r="C15" s="555"/>
      <x:c r="D15" s="555"/>
      <x:c r="E15" s="555"/>
      <x:c r="F15" s="555"/>
      <x:c r="G15" s="555"/>
      <x:c r="H15" s="556"/>
    </x:row>
    <x:row r="16">
      <x:c r="A16" s="557"/>
      <x:c r="B16" s="558"/>
      <x:c r="C16" s="558"/>
      <x:c r="D16" s="558"/>
      <x:c r="E16" s="558"/>
      <x:c r="F16" s="558"/>
      <x:c r="G16" s="558"/>
      <x:c r="H16" s="559"/>
    </x:row>
  </x:sheetData>
  <x:mergeCells>
    <x:mergeCell ref="A1:H2"/>
    <x:mergeCell ref="A3:H3"/>
    <x:mergeCell ref="A14:H16"/>
  </x:mergeCells>
  <x:conditionalFormatting sqref="C7:C11">
    <x:cfRule type="containsText" dxfId="3" priority="1" operator="containsText" text="High"/>
  </x:conditionalFormatting>
  <x:pageMargins left="0.7" right="0.7" top="0.75" bottom="0.75" header="0.3" footer="0.3"/>
  <x:legacyDrawing xmlns:r="http://schemas.openxmlformats.org/officeDocument/2006/relationships" r:id="R8cf7391438dd4421"/>
  <x:tableParts count="1">
    <x:tablePart xmlns:r="http://schemas.openxmlformats.org/officeDocument/2006/relationships" r:id="R7f329c51bba84d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6" hidden="0" customWidth="1"/>
    <x:col min="4" max="4" width="14" hidden="0" customWidth="1"/>
    <x:col min="5" max="5" width="17" hidden="0" customWidth="1"/>
    <x:col min="6" max="6" width="14" hidden="0" customWidth="1"/>
    <x:col min="7" max="7" width="20" hidden="0" customWidth="1"/>
    <x:col min="8" max="8" width="14" hidden="0" customWidth="1"/>
    <x:col min="9" max="9" width="20" hidden="0" customWidth="1"/>
    <x:col min="10" max="10" width="15" hidden="0" customWidth="1"/>
    <x:col min="11" max="11" width="12" hidden="0" customWidth="1"/>
    <x:col min="12" max="12" width="31" hidden="0" customWidth="1"/>
    <x:col min="13" max="13" width="48" hidden="0" customWidth="1"/>
  </x:cols>
  <x:sheetData>
    <x:row r="1" ht="30" customHeight="1">
      <x:c r="A1" s="3" t="str">
        <x:v>Confirmation Control Log</x:v>
      </x:c>
      <x:c r="B1" s="3" t="str">
        <x:v>Confirmation Control Log</x:v>
      </x:c>
      <x:c r="C1" s="3" t="str">
        <x:v>Confirmation Control Log</x:v>
      </x:c>
      <x:c r="D1" s="3" t="str">
        <x:v>Confirmation Control Log</x:v>
      </x:c>
      <x:c r="E1" s="3" t="str">
        <x:v>Confirmation Control Log</x:v>
      </x:c>
      <x:c r="F1" s="3" t="str">
        <x:v>Confirmation Control Log</x:v>
      </x:c>
      <x:c r="G1" s="3" t="str">
        <x:v>Confirmation Control Log</x:v>
      </x:c>
      <x:c r="H1" s="3" t="str">
        <x:v>Confirmation Control Log</x:v>
      </x:c>
      <x:c r="I1" s="3" t="str">
        <x:v>Confirmation Control Log</x:v>
      </x:c>
      <x:c r="J1" s="3" t="str">
        <x:v>Confirmation Control Log</x:v>
      </x:c>
      <x:c r="K1" s="3" t="str">
        <x:v>Confirmation Control Log</x:v>
      </x:c>
      <x:c r="L1" s="3" t="str">
        <x:v>Confirmation Control Log</x:v>
      </x:c>
      <x:c r="M1" s="3" t="str">
        <x:v>Confirmation Control Log</x:v>
      </x:c>
    </x:row>
    <x:row r="2" ht="30" customHeight="1">
      <x:c r="A2" s="3" t="str">
        <x:v>Confirmation Control Log</x:v>
      </x:c>
      <x:c r="B2" s="3" t="str">
        <x:v>Confirmation Control Log</x:v>
      </x:c>
      <x:c r="C2" s="3" t="str">
        <x:v>Confirmation Control Log</x:v>
      </x:c>
      <x:c r="D2" s="3" t="str">
        <x:v>Confirmation Control Log</x:v>
      </x:c>
      <x:c r="E2" s="3" t="str">
        <x:v>Confirmation Control Log</x:v>
      </x:c>
      <x:c r="F2" s="3" t="str">
        <x:v>Confirmation Control Log</x:v>
      </x:c>
      <x:c r="G2" s="3" t="str">
        <x:v>Confirmation Control Log</x:v>
      </x:c>
      <x:c r="H2" s="3" t="str">
        <x:v>Confirmation Control Log</x:v>
      </x:c>
      <x:c r="I2" s="3" t="str">
        <x:v>Confirmation Control Log</x:v>
      </x:c>
      <x:c r="J2" s="3" t="str">
        <x:v>Confirmation Control Log</x:v>
      </x:c>
      <x:c r="K2" s="3" t="str">
        <x:v>Confirmation Control Log</x:v>
      </x:c>
      <x:c r="L2" s="3" t="str">
        <x:v>Confirmation Control Log</x:v>
      </x:c>
      <x:c r="M2" s="3" t="str">
        <x:v>Confirmation Control Log</x:v>
      </x:c>
    </x:row>
    <x:row r="3" ht="22" customHeight="1">
      <x:c r="A3" s="6" t="str">
        <x:v>Auditor-controlled positive confirmations, responses, differences, follow-ups, and final test results</x:v>
      </x:c>
      <x:c r="B3" s="6" t="str">
        <x:v>Auditor-controlled positive confirmations, responses, differences, follow-ups, and final test results</x:v>
      </x:c>
      <x:c r="C3" s="6" t="str">
        <x:v>Auditor-controlled positive confirmations, responses, differences, follow-ups, and final test results</x:v>
      </x:c>
      <x:c r="D3" s="6" t="str">
        <x:v>Auditor-controlled positive confirmations, responses, differences, follow-ups, and final test results</x:v>
      </x:c>
      <x:c r="E3" s="6" t="str">
        <x:v>Auditor-controlled positive confirmations, responses, differences, follow-ups, and final test results</x:v>
      </x:c>
      <x:c r="F3" s="6" t="str">
        <x:v>Auditor-controlled positive confirmations, responses, differences, follow-ups, and final test results</x:v>
      </x:c>
      <x:c r="G3" s="6" t="str">
        <x:v>Auditor-controlled positive confirmations, responses, differences, follow-ups, and final test results</x:v>
      </x:c>
      <x:c r="H3" s="6" t="str">
        <x:v>Auditor-controlled positive confirmations, responses, differences, follow-ups, and final test results</x:v>
      </x:c>
      <x:c r="I3" s="6" t="str">
        <x:v>Auditor-controlled positive confirmations, responses, differences, follow-ups, and final test results</x:v>
      </x:c>
      <x:c r="J3" s="6" t="str">
        <x:v>Auditor-controlled positive confirmations, responses, differences, follow-ups, and final test results</x:v>
      </x:c>
      <x:c r="K3" s="6" t="str">
        <x:v>Auditor-controlled positive confirmations, responses, differences, follow-ups, and final test results</x:v>
      </x:c>
      <x:c r="L3" s="6" t="str">
        <x:v>Auditor-controlled positive confirmations, responses, differences, follow-ups, and final test results</x:v>
      </x:c>
      <x:c r="M3" s="6" t="str">
        <x:v>Auditor-controlled positive confirmations, responses, differences, follow-ups, and final test results</x:v>
      </x:c>
    </x:row>
    <x:row r="4">
      <x:c r="A4" s="473" t="str">
        <x:v>Input columns A:B and D:I originate from confirmation_tracking.csv. Book balance, difference, exception status, and final result are formula-driven.</x:v>
      </x:c>
      <x:c r="B4" s="473"/>
      <x:c r="C4" s="473"/>
      <x:c r="D4" s="473"/>
      <x:c r="E4" s="473"/>
      <x:c r="F4" s="473"/>
      <x:c r="G4" s="473"/>
      <x:c r="H4" s="473"/>
      <x:c r="I4" s="473"/>
      <x:c r="J4" s="473"/>
      <x:c r="K4" s="473"/>
      <x:c r="L4" s="473"/>
      <x:c r="M4" s="473"/>
    </x:row>
    <x:row r="6" ht="34" customHeight="1">
      <x:c r="A6" s="484" t="str">
        <x:v>Confirmation ID</x:v>
      </x:c>
      <x:c r="B6" s="485" t="str">
        <x:v>Customer</x:v>
      </x:c>
      <x:c r="C6" s="485" t="str">
        <x:v>Book Balance</x:v>
      </x:c>
      <x:c r="D6" s="485" t="str">
        <x:v>Date Sent</x:v>
      </x:c>
      <x:c r="E6" s="485" t="str">
        <x:v>Response Status</x:v>
      </x:c>
      <x:c r="F6" s="485" t="str">
        <x:v>Response Date</x:v>
      </x:c>
      <x:c r="G6" s="485" t="str">
        <x:v>Customer Stated Balance</x:v>
      </x:c>
      <x:c r="H6" s="485" t="str">
        <x:v>Follow-up Date</x:v>
      </x:c>
      <x:c r="I6" s="485" t="str">
        <x:v>Alt Procedures Required</x:v>
      </x:c>
      <x:c r="J6" s="485" t="str">
        <x:v>Difference</x:v>
      </x:c>
      <x:c r="K6" s="485" t="str">
        <x:v>Exception?</x:v>
      </x:c>
      <x:c r="L6" s="485" t="str">
        <x:v>Final Result</x:v>
      </x:c>
      <x:c r="M6" s="486" t="str">
        <x:v>Auditor Note</x:v>
      </x:c>
    </x:row>
    <x:row r="7" ht="42" customHeight="1">
      <x:c r="A7" s="491" t="str">
        <x:v>CONF-001</x:v>
      </x:c>
      <x:c r="B7" s="492" t="str">
        <x:v>Gulf Coast Manufacturing</x:v>
      </x:c>
      <x:c r="C7" s="563" t="n">
        <x:f>SUMIF('Sample Selection'!$A$7:$A$11,B7,'Sample Selection'!$D$7:$D$11)</x:f>
        <x:v>59200</x:v>
      </x:c>
      <x:c r="D7" s="564" t="n">
        <x:v>46204</x:v>
      </x:c>
      <x:c r="E7" s="493" t="str">
        <x:v>Received</x:v>
      </x:c>
      <x:c r="F7" s="564" t="n">
        <x:v>46209</x:v>
      </x:c>
      <x:c r="G7" s="494" t="n">
        <x:v>59200</x:v>
      </x:c>
      <x:c r="H7" s="564"/>
      <x:c r="I7" s="493" t="str">
        <x:v>No</x:v>
      </x:c>
      <x:c r="J7" s="565" t="n">
        <x:f>IF(E7="Received",C7-G7,0)</x:f>
        <x:v>0</x:v>
      </x:c>
      <x:c r="K7" s="566" t="str">
        <x:f>IF(ABS(J7)&gt;0.01,"Yes","No")</x:f>
        <x:v>No</x:v>
      </x:c>
      <x:c r="L7" s="516" t="str">
        <x:f>IF(E7="Received",IF(ABS(J7)&lt;0.01,"Confirmed - No Exception","Confirmed - Exception"),IF(COUNTIFS('Alternative Procedures'!$B$7:$B$8,A7,'Alternative Procedures'!$K$7:$K$8,"Supported")&gt;0,"Alternative Procedures - Supported","Open"))</x:f>
        <x:v>Confirmed - No Exception</x:v>
      </x:c>
      <x:c r="M7" s="495" t="str">
        <x:v>Customer agreed to the recorded balance</x:v>
      </x:c>
    </x:row>
    <x:row r="8" ht="42" customHeight="1">
      <x:c r="A8" s="496" t="str">
        <x:v>CONF-002</x:v>
      </x:c>
      <x:c r="B8" s="497" t="str">
        <x:v>Delta Municipal Services</x:v>
      </x:c>
      <x:c r="C8" s="567" t="n">
        <x:f>SUMIF('Sample Selection'!$A$7:$A$11,B8,'Sample Selection'!$D$7:$D$11)</x:f>
        <x:v>48120</x:v>
      </x:c>
      <x:c r="D8" s="568" t="n">
        <x:v>46204</x:v>
      </x:c>
      <x:c r="E8" s="498" t="str">
        <x:v>No Response</x:v>
      </x:c>
      <x:c r="F8" s="568"/>
      <x:c r="G8" s="499"/>
      <x:c r="H8" s="568" t="n">
        <x:v>46210</x:v>
      </x:c>
      <x:c r="I8" s="498" t="str">
        <x:v>Yes</x:v>
      </x:c>
      <x:c r="J8" s="569" t="n">
        <x:f>IF(E8="Received",C8-G8,0)</x:f>
        <x:v>0</x:v>
      </x:c>
      <x:c r="K8" s="570" t="str">
        <x:f>IF(ABS(J8)&gt;0.01,"Yes","No")</x:f>
        <x:v>No</x:v>
      </x:c>
      <x:c r="L8" s="522" t="str">
        <x:f>IF(E8="Received",IF(ABS(J8)&lt;0.01,"Confirmed - No Exception","Confirmed - Exception"),IF(COUNTIFS('Alternative Procedures'!$B$7:$B$8,A8,'Alternative Procedures'!$K$7:$K$8,"Supported")&gt;0,"Alternative Procedures - Supported","Open"))</x:f>
        <x:v>Alternative Procedures - Supported</x:v>
      </x:c>
      <x:c r="M8" s="500" t="str">
        <x:v>No response after follow-up; alternative procedures performed</x:v>
      </x:c>
    </x:row>
    <x:row r="9" ht="42" customHeight="1">
      <x:c r="A9" s="496" t="str">
        <x:v>CONF-003</x:v>
      </x:c>
      <x:c r="B9" s="497" t="str">
        <x:v>Acadia Health Partners</x:v>
      </x:c>
      <x:c r="C9" s="567" t="n">
        <x:f>SUMIF('Sample Selection'!$A$7:$A$11,B9,'Sample Selection'!$D$7:$D$11)</x:f>
        <x:v>40650</x:v>
      </x:c>
      <x:c r="D9" s="568" t="n">
        <x:v>46204</x:v>
      </x:c>
      <x:c r="E9" s="498" t="str">
        <x:v>Received</x:v>
      </x:c>
      <x:c r="F9" s="568" t="n">
        <x:v>46212</x:v>
      </x:c>
      <x:c r="G9" s="499" t="n">
        <x:v>38250</x:v>
      </x:c>
      <x:c r="H9" s="568"/>
      <x:c r="I9" s="498" t="str">
        <x:v>No</x:v>
      </x:c>
      <x:c r="J9" s="569" t="n">
        <x:f>IF(E9="Received",C9-G9,0)</x:f>
        <x:v>2400</x:v>
      </x:c>
      <x:c r="K9" s="570" t="str">
        <x:f>IF(ABS(J9)&gt;0.01,"Yes","No")</x:f>
        <x:v>Yes</x:v>
      </x:c>
      <x:c r="L9" s="522" t="str">
        <x:f>IF(E9="Received",IF(ABS(J9)&lt;0.01,"Confirmed - No Exception","Confirmed - Exception"),IF(COUNTIFS('Alternative Procedures'!$B$7:$B$8,A9,'Alternative Procedures'!$K$7:$K$8,"Supported")&gt;0,"Alternative Procedures - Supported","Open"))</x:f>
        <x:v>Confirmed - Exception</x:v>
      </x:c>
      <x:c r="M9" s="500" t="str">
        <x:v>Customer reported a 2400 service-level credit memo not recorded at period end</x:v>
      </x:c>
    </x:row>
    <x:row r="10" ht="42" customHeight="1">
      <x:c r="A10" s="496" t="str">
        <x:v>CONF-004</x:v>
      </x:c>
      <x:c r="B10" s="497" t="str">
        <x:v>Bayou Industrial Supply</x:v>
      </x:c>
      <x:c r="C10" s="567" t="n">
        <x:f>SUMIF('Sample Selection'!$A$7:$A$11,B10,'Sample Selection'!$D$7:$D$11)</x:f>
        <x:v>31750</x:v>
      </x:c>
      <x:c r="D10" s="568" t="n">
        <x:v>46204</x:v>
      </x:c>
      <x:c r="E10" s="498" t="str">
        <x:v>Received</x:v>
      </x:c>
      <x:c r="F10" s="568" t="n">
        <x:v>46208</x:v>
      </x:c>
      <x:c r="G10" s="499" t="n">
        <x:v>31750</x:v>
      </x:c>
      <x:c r="H10" s="568"/>
      <x:c r="I10" s="498" t="str">
        <x:v>No</x:v>
      </x:c>
      <x:c r="J10" s="569" t="n">
        <x:f>IF(E10="Received",C10-G10,0)</x:f>
        <x:v>0</x:v>
      </x:c>
      <x:c r="K10" s="570" t="str">
        <x:f>IF(ABS(J10)&gt;0.01,"Yes","No")</x:f>
        <x:v>No</x:v>
      </x:c>
      <x:c r="L10" s="522" t="str">
        <x:f>IF(E10="Received",IF(ABS(J10)&lt;0.01,"Confirmed - No Exception","Confirmed - Exception"),IF(COUNTIFS('Alternative Procedures'!$B$7:$B$8,A10,'Alternative Procedures'!$K$7:$K$8,"Supported")&gt;0,"Alternative Procedures - Supported","Open"))</x:f>
        <x:v>Confirmed - No Exception</x:v>
      </x:c>
      <x:c r="M10" s="500" t="str">
        <x:v>Customer agreed to the recorded balance</x:v>
      </x:c>
    </x:row>
    <x:row r="11" ht="42" customHeight="1">
      <x:c r="A11" s="501" t="str">
        <x:v>CONF-005</x:v>
      </x:c>
      <x:c r="B11" s="502" t="str">
        <x:v>Jefferson Community Care</x:v>
      </x:c>
      <x:c r="C11" s="571" t="n">
        <x:f>SUMIF('Sample Selection'!$A$7:$A$11,B11,'Sample Selection'!$D$7:$D$11)</x:f>
        <x:v>26500</x:v>
      </x:c>
      <x:c r="D11" s="572" t="n">
        <x:v>46204</x:v>
      </x:c>
      <x:c r="E11" s="503" t="str">
        <x:v>No Response</x:v>
      </x:c>
      <x:c r="F11" s="572"/>
      <x:c r="G11" s="504"/>
      <x:c r="H11" s="572" t="n">
        <x:v>46210</x:v>
      </x:c>
      <x:c r="I11" s="503" t="str">
        <x:v>Yes</x:v>
      </x:c>
      <x:c r="J11" s="573" t="n">
        <x:f>IF(E11="Received",C11-G11,0)</x:f>
        <x:v>0</x:v>
      </x:c>
      <x:c r="K11" s="574" t="str">
        <x:f>IF(ABS(J11)&gt;0.01,"Yes","No")</x:f>
        <x:v>No</x:v>
      </x:c>
      <x:c r="L11" s="528" t="str">
        <x:f>IF(E11="Received",IF(ABS(J11)&lt;0.01,"Confirmed - No Exception","Confirmed - Exception"),IF(COUNTIFS('Alternative Procedures'!$B$7:$B$8,A11,'Alternative Procedures'!$K$7:$K$8,"Supported")&gt;0,"Alternative Procedures - Supported","Open"))</x:f>
        <x:v>Alternative Procedures - Supported</x:v>
      </x:c>
      <x:c r="M11" s="505" t="str">
        <x:v>No response after follow-up; invoice and service-acceptance support inspected</x:v>
      </x:c>
    </x:row>
  </x:sheetData>
  <x:mergeCells>
    <x:mergeCell ref="A1:M2"/>
    <x:mergeCell ref="A3:M3"/>
    <x:mergeCell ref="A4:M4"/>
  </x:mergeCells>
  <x:conditionalFormatting sqref="L7:L11">
    <x:cfRule type="containsText" dxfId="4" priority="1" operator="containsText" text="No Exception"/>
    <x:cfRule type="containsText" dxfId="5" priority="2" operator="containsText" text="Supported"/>
    <x:cfRule type="containsText" dxfId="6" priority="3" operator="containsText" text="Exception"/>
    <x:cfRule type="containsText" dxfId="7" priority="4" operator="containsText" text="Open"/>
  </x:conditionalFormatting>
  <x:dataValidations count="2">
    <x:dataValidation type="list" sqref="E7:E11">
      <x:formula1>"Received,No Response,Pending"</x:formula1>
    </x:dataValidation>
    <x:dataValidation type="list" sqref="I7:I1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d4de217b84f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9" hidden="0" customWidth="1"/>
    <x:col min="4" max="4" width="16" hidden="0" customWidth="1"/>
    <x:col min="5" max="5" width="15" hidden="0" customWidth="1"/>
    <x:col min="6" max="6" width="16" hidden="0" customWidth="1"/>
    <x:col min="7" max="7" width="20" hidden="0" customWidth="1"/>
    <x:col min="8" max="8" width="18" hidden="0" customWidth="1"/>
    <x:col min="9" max="9" width="21" hidden="0" customWidth="1"/>
    <x:col min="10" max="10" width="24" hidden="0" customWidth="1"/>
    <x:col min="11" max="11" width="20" hidden="0" customWidth="1"/>
    <x:col min="12" max="12" width="52" hidden="0" customWidth="1"/>
    <x:col min="13" max="13" width="16" hidden="0" customWidth="1"/>
  </x:cols>
  <x:sheetData>
    <x:row r="1" ht="30" customHeight="1">
      <x:c r="A1" s="3" t="str">
        <x:v>Alternative Procedures</x:v>
      </x:c>
      <x:c r="B1" s="3" t="str">
        <x:v>Alternative Procedures</x:v>
      </x:c>
      <x:c r="C1" s="3" t="str">
        <x:v>Alternative Procedures</x:v>
      </x:c>
      <x:c r="D1" s="3" t="str">
        <x:v>Alternative Procedures</x:v>
      </x:c>
      <x:c r="E1" s="3" t="str">
        <x:v>Alternative Procedures</x:v>
      </x:c>
      <x:c r="F1" s="3" t="str">
        <x:v>Alternative Procedures</x:v>
      </x:c>
      <x:c r="G1" s="3" t="str">
        <x:v>Alternative Procedures</x:v>
      </x:c>
      <x:c r="H1" s="3" t="str">
        <x:v>Alternative Procedures</x:v>
      </x:c>
      <x:c r="I1" s="3" t="str">
        <x:v>Alternative Procedures</x:v>
      </x:c>
      <x:c r="J1" s="3" t="str">
        <x:v>Alternative Procedures</x:v>
      </x:c>
      <x:c r="K1" s="3" t="str">
        <x:v>Alternative Procedures</x:v>
      </x:c>
      <x:c r="L1" s="3" t="str">
        <x:v>Alternative Procedures</x:v>
      </x:c>
      <x:c r="M1" s="3" t="str">
        <x:v>Alternative Procedures</x:v>
      </x:c>
    </x:row>
    <x:row r="2" ht="30" customHeight="1">
      <x:c r="A2" s="3" t="str">
        <x:v>Alternative Procedures</x:v>
      </x:c>
      <x:c r="B2" s="3" t="str">
        <x:v>Alternative Procedures</x:v>
      </x:c>
      <x:c r="C2" s="3" t="str">
        <x:v>Alternative Procedures</x:v>
      </x:c>
      <x:c r="D2" s="3" t="str">
        <x:v>Alternative Procedures</x:v>
      </x:c>
      <x:c r="E2" s="3" t="str">
        <x:v>Alternative Procedures</x:v>
      </x:c>
      <x:c r="F2" s="3" t="str">
        <x:v>Alternative Procedures</x:v>
      </x:c>
      <x:c r="G2" s="3" t="str">
        <x:v>Alternative Procedures</x:v>
      </x:c>
      <x:c r="H2" s="3" t="str">
        <x:v>Alternative Procedures</x:v>
      </x:c>
      <x:c r="I2" s="3" t="str">
        <x:v>Alternative Procedures</x:v>
      </x:c>
      <x:c r="J2" s="3" t="str">
        <x:v>Alternative Procedures</x:v>
      </x:c>
      <x:c r="K2" s="3" t="str">
        <x:v>Alternative Procedures</x:v>
      </x:c>
      <x:c r="L2" s="3" t="str">
        <x:v>Alternative Procedures</x:v>
      </x:c>
      <x:c r="M2" s="3" t="str">
        <x:v>Alternative Procedures</x:v>
      </x:c>
    </x:row>
    <x:row r="3" ht="22" customHeight="1">
      <x:c r="A3" s="6" t="str">
        <x:v>Supporting evidence obtained for confirmation nonresponses</x:v>
      </x:c>
      <x:c r="B3" s="6" t="str">
        <x:v>Supporting evidence obtained for confirmation nonresponses</x:v>
      </x:c>
      <x:c r="C3" s="6" t="str">
        <x:v>Supporting evidence obtained for confirmation nonresponses</x:v>
      </x:c>
      <x:c r="D3" s="6" t="str">
        <x:v>Supporting evidence obtained for confirmation nonresponses</x:v>
      </x:c>
      <x:c r="E3" s="6" t="str">
        <x:v>Supporting evidence obtained for confirmation nonresponses</x:v>
      </x:c>
      <x:c r="F3" s="6" t="str">
        <x:v>Supporting evidence obtained for confirmation nonresponses</x:v>
      </x:c>
      <x:c r="G3" s="6" t="str">
        <x:v>Supporting evidence obtained for confirmation nonresponses</x:v>
      </x:c>
      <x:c r="H3" s="6" t="str">
        <x:v>Supporting evidence obtained for confirmation nonresponses</x:v>
      </x:c>
      <x:c r="I3" s="6" t="str">
        <x:v>Supporting evidence obtained for confirmation nonresponses</x:v>
      </x:c>
      <x:c r="J3" s="6" t="str">
        <x:v>Supporting evidence obtained for confirmation nonresponses</x:v>
      </x:c>
      <x:c r="K3" s="6" t="str">
        <x:v>Supporting evidence obtained for confirmation nonresponses</x:v>
      </x:c>
      <x:c r="L3" s="6" t="str">
        <x:v>Supporting evidence obtained for confirmation nonresponses</x:v>
      </x:c>
      <x:c r="M3" s="6" t="str">
        <x:v>Supporting evidence obtained for confirmation nonresponses</x:v>
      </x:c>
    </x:row>
    <x:row r="4">
      <x:c r="A4" s="576" t="str">
        <x:v>For each nonresponse, inspect invoice support and customer delivery or service-acceptance evidence. Where available, agree subsequent cash to bank support.</x:v>
      </x:c>
      <x:c r="B4" s="576"/>
      <x:c r="C4" s="576"/>
      <x:c r="D4" s="576"/>
      <x:c r="E4" s="576"/>
      <x:c r="F4" s="576"/>
      <x:c r="G4" s="576"/>
      <x:c r="H4" s="576"/>
      <x:c r="I4" s="576"/>
      <x:c r="J4" s="576"/>
      <x:c r="K4" s="576"/>
      <x:c r="L4" s="576"/>
      <x:c r="M4" s="576"/>
    </x:row>
    <x:row r="6" ht="34" customHeight="1">
      <x:c r="A6" s="484" t="str">
        <x:v>Alt Proc ID</x:v>
      </x:c>
      <x:c r="B6" s="485" t="str">
        <x:v>Confirmation ID</x:v>
      </x:c>
      <x:c r="C6" s="485" t="str">
        <x:v>Customer</x:v>
      </x:c>
      <x:c r="D6" s="485" t="str">
        <x:v>Book Balance</x:v>
      </x:c>
      <x:c r="E6" s="485" t="str">
        <x:v>Procedure Date</x:v>
      </x:c>
      <x:c r="F6" s="485" t="str">
        <x:v>Invoice Support</x:v>
      </x:c>
      <x:c r="G6" s="485" t="str">
        <x:v>Delivery / Acceptance</x:v>
      </x:c>
      <x:c r="H6" s="485" t="str">
        <x:v>Subsequent Cash Date</x:v>
      </x:c>
      <x:c r="I6" s="485" t="str">
        <x:v>Subsequent Cash Amount</x:v>
      </x:c>
      <x:c r="J6" s="485" t="str">
        <x:v>Bank Reference</x:v>
      </x:c>
      <x:c r="K6" s="485" t="str">
        <x:v>Procedure Conclusion</x:v>
      </x:c>
      <x:c r="L6" s="485" t="str">
        <x:v>Auditor Notes</x:v>
      </x:c>
      <x:c r="M6" s="486" t="str">
        <x:v>Evidence Check</x:v>
      </x:c>
    </x:row>
    <x:row r="7" ht="56" customHeight="1">
      <x:c r="A7" s="491" t="str">
        <x:v>ALT-001</x:v>
      </x:c>
      <x:c r="B7" s="493" t="str">
        <x:v>CONF-002</x:v>
      </x:c>
      <x:c r="C7" s="492" t="str">
        <x:v>Delta Municipal Services</x:v>
      </x:c>
      <x:c r="D7" s="563" t="n">
        <x:f>SUMIF('Confirmation Log'!$A$7:$A$11,B7,'Confirmation Log'!$C$7:$C$11)</x:f>
        <x:v>48120</x:v>
      </x:c>
      <x:c r="E7" s="564" t="n">
        <x:v>46212</x:v>
      </x:c>
      <x:c r="F7" s="493" t="str">
        <x:v>Yes</x:v>
      </x:c>
      <x:c r="G7" s="493" t="str">
        <x:v>Yes</x:v>
      </x:c>
      <x:c r="H7" s="564" t="n">
        <x:v>46211</x:v>
      </x:c>
      <x:c r="I7" s="578" t="n">
        <x:v>48120</x:v>
      </x:c>
      <x:c r="J7" s="493" t="str">
        <x:v>ACH-20260708-48120</x:v>
      </x:c>
      <x:c r="K7" s="493" t="str">
        <x:v>Supported</x:v>
      </x:c>
      <x:c r="L7" s="492" t="str">
        <x:v>Agreed the full balance to subsequent cash receipt and bank reference</x:v>
      </x:c>
      <x:c r="M7" s="579" t="str">
        <x:f>IF(K7&lt;&gt;"Supported","Incomplete",IF(AND(F7="Yes",G7="Yes",OR(I7=0,ABS(D7-I7)&lt;0.01)),"Complete","Review"))</x:f>
        <x:v>Complete</x:v>
      </x:c>
    </x:row>
    <x:row r="8" ht="56" customHeight="1">
      <x:c r="A8" s="501" t="str">
        <x:v>ALT-002</x:v>
      </x:c>
      <x:c r="B8" s="503" t="str">
        <x:v>CONF-005</x:v>
      </x:c>
      <x:c r="C8" s="502" t="str">
        <x:v>Jefferson Community Care</x:v>
      </x:c>
      <x:c r="D8" s="571" t="n">
        <x:f>SUMIF('Confirmation Log'!$A$7:$A$11,B8,'Confirmation Log'!$C$7:$C$11)</x:f>
        <x:v>26500</x:v>
      </x:c>
      <x:c r="E8" s="572" t="n">
        <x:v>46213</x:v>
      </x:c>
      <x:c r="F8" s="503" t="str">
        <x:v>Yes</x:v>
      </x:c>
      <x:c r="G8" s="503" t="str">
        <x:v>Yes</x:v>
      </x:c>
      <x:c r="H8" s="572"/>
      <x:c r="I8" s="580" t="n">
        <x:v>0</x:v>
      </x:c>
      <x:c r="J8" s="503" t="str"/>
      <x:c r="K8" s="503" t="str">
        <x:v>Supported</x:v>
      </x:c>
      <x:c r="L8" s="502" t="str">
        <x:v>Inspected invoice and customer service-acceptance documentation; no subsequent cash received by test date</x:v>
      </x:c>
      <x:c r="M8" s="581" t="str">
        <x:f>IF(K8&lt;&gt;"Supported","Incomplete",IF(AND(F8="Yes",G8="Yes",OR(I8=0,ABS(D8-I8)&lt;0.01)),"Complete","Review"))</x:f>
        <x:v>Complete</x:v>
      </x:c>
    </x:row>
  </x:sheetData>
  <x:mergeCells>
    <x:mergeCell ref="A1:M2"/>
    <x:mergeCell ref="A3:M3"/>
    <x:mergeCell ref="A4:M4"/>
  </x:mergeCells>
  <x:conditionalFormatting sqref="M7:M8">
    <x:cfRule type="containsText" dxfId="8" priority="1" operator="containsText" text="Complete"/>
  </x:conditionalFormatting>
  <x:dataValidations count="2">
    <x:dataValidation type="list" sqref="F7:G8">
      <x:formula1>"Yes,No"</x:formula1>
    </x:dataValidation>
    <x:dataValidation type="list" sqref="K7:K8">
      <x:formula1>"Supported,Not Supported,Pending"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ff88639ad44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27" hidden="0" customWidth="1"/>
    <x:col min="4" max="4" width="44" hidden="0" customWidth="1"/>
    <x:col min="5" max="5" width="17" hidden="0" customWidth="1"/>
    <x:col min="6" max="6" width="15" hidden="0" customWidth="1"/>
    <x:col min="7" max="7" width="50" hidden="0" customWidth="1"/>
    <x:col min="8" max="8" width="55" hidden="0" customWidth="1"/>
    <x:col min="9" max="9" width="36" hidden="0" customWidth="1"/>
  </x:cols>
  <x:sheetData>
    <x:row r="1" ht="30" customHeight="1">
      <x:c r="A1" s="3" t="str">
        <x:v>Exception Evaluation</x:v>
      </x:c>
      <x:c r="B1" s="3" t="str">
        <x:v>Exception Evaluation</x:v>
      </x:c>
      <x:c r="C1" s="3" t="str">
        <x:v>Exception Evaluation</x:v>
      </x:c>
      <x:c r="D1" s="3" t="str">
        <x:v>Exception Evaluation</x:v>
      </x:c>
      <x:c r="E1" s="3" t="str">
        <x:v>Exception Evaluation</x:v>
      </x:c>
      <x:c r="F1" s="3" t="str">
        <x:v>Exception Evaluation</x:v>
      </x:c>
      <x:c r="G1" s="3" t="str">
        <x:v>Exception Evaluation</x:v>
      </x:c>
      <x:c r="H1" s="3" t="str">
        <x:v>Exception Evaluation</x:v>
      </x:c>
      <x:c r="I1" s="3" t="str">
        <x:v>Exception Evaluation</x:v>
      </x:c>
    </x:row>
    <x:row r="2" ht="30" customHeight="1">
      <x:c r="A2" s="3" t="str">
        <x:v>Exception Evaluation</x:v>
      </x:c>
      <x:c r="B2" s="3" t="str">
        <x:v>Exception Evaluation</x:v>
      </x:c>
      <x:c r="C2" s="3" t="str">
        <x:v>Exception Evaluation</x:v>
      </x:c>
      <x:c r="D2" s="3" t="str">
        <x:v>Exception Evaluation</x:v>
      </x:c>
      <x:c r="E2" s="3" t="str">
        <x:v>Exception Evaluation</x:v>
      </x:c>
      <x:c r="F2" s="3" t="str">
        <x:v>Exception Evaluation</x:v>
      </x:c>
      <x:c r="G2" s="3" t="str">
        <x:v>Exception Evaluation</x:v>
      </x:c>
      <x:c r="H2" s="3" t="str">
        <x:v>Exception Evaluation</x:v>
      </x:c>
      <x:c r="I2" s="3" t="str">
        <x:v>Exception Evaluation</x:v>
      </x:c>
    </x:row>
    <x:row r="3" ht="22" customHeight="1">
      <x:c r="A3" s="6" t="str">
        <x:v>Confirmation difference, management explanation, audit evaluation, and proposed follow-up</x:v>
      </x:c>
      <x:c r="B3" s="6" t="str">
        <x:v>Confirmation difference, management explanation, audit evaluation, and proposed follow-up</x:v>
      </x:c>
      <x:c r="C3" s="6" t="str">
        <x:v>Confirmation difference, management explanation, audit evaluation, and proposed follow-up</x:v>
      </x:c>
      <x:c r="D3" s="6" t="str">
        <x:v>Confirmation difference, management explanation, audit evaluation, and proposed follow-up</x:v>
      </x:c>
      <x:c r="E3" s="6" t="str">
        <x:v>Confirmation difference, management explanation, audit evaluation, and proposed follow-up</x:v>
      </x:c>
      <x:c r="F3" s="6" t="str">
        <x:v>Confirmation difference, management explanation, audit evaluation, and proposed follow-up</x:v>
      </x:c>
      <x:c r="G3" s="6" t="str">
        <x:v>Confirmation difference, management explanation, audit evaluation, and proposed follow-up</x:v>
      </x:c>
      <x:c r="H3" s="6" t="str">
        <x:v>Confirmation difference, management explanation, audit evaluation, and proposed follow-up</x:v>
      </x:c>
      <x:c r="I3" s="6" t="str">
        <x:v>Confirmation difference, management explanation, audit evaluation, and proposed follow-up</x:v>
      </x:c>
    </x:row>
    <x:row r="4">
      <x:c r="A4" s="546" t="str">
        <x:v>One confirmation difference was identified. The item is below the assumed planning and performance materiality thresholds but remains an audit difference for management follow-up.</x:v>
      </x:c>
      <x:c r="B4" s="546"/>
      <x:c r="C4" s="546"/>
      <x:c r="D4" s="546"/>
      <x:c r="E4" s="546"/>
      <x:c r="F4" s="546"/>
      <x:c r="G4" s="546"/>
      <x:c r="H4" s="546"/>
      <x:c r="I4" s="546"/>
    </x:row>
    <x:row r="6" ht="34" customHeight="1">
      <x:c r="A6" s="484" t="str">
        <x:v>Exception ID</x:v>
      </x:c>
      <x:c r="B6" s="485" t="str">
        <x:v>Confirmation ID</x:v>
      </x:c>
      <x:c r="C6" s="485" t="str">
        <x:v>Customer</x:v>
      </x:c>
      <x:c r="D6" s="485" t="str">
        <x:v>Book Balance</x:v>
      </x:c>
      <x:c r="E6" s="485" t="str">
        <x:v>Customer Balance</x:v>
      </x:c>
      <x:c r="F6" s="485" t="str">
        <x:v>Difference</x:v>
      </x:c>
      <x:c r="G6" s="485" t="str">
        <x:v>Management Explanation</x:v>
      </x:c>
      <x:c r="H6" s="485" t="str">
        <x:v>Audit Evaluation</x:v>
      </x:c>
      <x:c r="I6" s="486" t="str">
        <x:v>Follow-up Status</x:v>
      </x:c>
    </x:row>
    <x:row r="7" ht="92" customHeight="1">
      <x:c r="A7" s="583" t="str">
        <x:v>EXC-001</x:v>
      </x:c>
      <x:c r="B7" s="584" t="str">
        <x:v>CONF-003</x:v>
      </x:c>
      <x:c r="C7" s="585" t="str">
        <x:f>'Confirmation Log'!B9</x:f>
        <x:v>Acadia Health Partners</x:v>
      </x:c>
      <x:c r="D7" s="586" t="n">
        <x:f>SUMIF('Confirmation Log'!$A$7:$A$11,B7,'Confirmation Log'!$C$7:$C$11)</x:f>
        <x:v>40650</x:v>
      </x:c>
      <x:c r="E7" s="586" t="n">
        <x:f>SUMIF('Confirmation Log'!$A$7:$A$11,B7,'Confirmation Log'!$G$7:$G$11)</x:f>
        <x:v>38250</x:v>
      </x:c>
      <x:c r="F7" s="586" t="n">
        <x:f>SUMIF('Confirmation Log'!$A$7:$A$11,B7,'Confirmation Log'!$J$7:$J$11)</x:f>
        <x:v>2400</x:v>
      </x:c>
      <x:c r="G7" s="585" t="str">
        <x:v>Customer reported a $2,400 service-level credit memo dated June 27 that was posted after period end.</x:v>
      </x:c>
      <x:c r="H7" s="585" t="str">
        <x:v>Potential cutoff and valuation misstatement. Below assumed materiality; include on the summary of audit differences and inspect credit approval and subsequent posting.</x:v>
      </x:c>
      <x:c r="I7" s="587" t="str">
        <x:v>Open - management to record or provide contrary support</x:v>
      </x:c>
    </x:row>
    <x:row r="11">
      <x:c r="A11" s="438" t="str">
        <x:v>ILLUSTRATIVE PROPOSED ADJUSTMENT</x:v>
      </x:c>
      <x:c r="B11" s="439" t="str">
        <x:v>ILLUSTRATIVE PROPOSED ADJUSTMENT</x:v>
      </x:c>
      <x:c r="C11" s="439" t="str">
        <x:v>ILLUSTRATIVE PROPOSED ADJUSTMENT</x:v>
      </x:c>
      <x:c r="D11" s="439" t="str">
        <x:v>ILLUSTRATIVE PROPOSED ADJUSTMENT</x:v>
      </x:c>
      <x:c r="E11" s="439" t="str">
        <x:v>ILLUSTRATIVE PROPOSED ADJUSTMENT</x:v>
      </x:c>
      <x:c r="F11" s="439" t="str">
        <x:v>ILLUSTRATIVE PROPOSED ADJUSTMENT</x:v>
      </x:c>
      <x:c r="G11" s="439" t="str">
        <x:v>ILLUSTRATIVE PROPOSED ADJUSTMENT</x:v>
      </x:c>
      <x:c r="H11" s="439" t="str">
        <x:v>ILLUSTRATIVE PROPOSED ADJUSTMENT</x:v>
      </x:c>
      <x:c r="I11" s="440" t="str">
        <x:v>ILLUSTRATIVE PROPOSED ADJUSTMENT</x:v>
      </x:c>
    </x:row>
    <x:row r="12">
      <x:c r="A12" s="589" t="str">
        <x:v>Account</x:v>
      </x:c>
      <x:c r="B12" s="589" t="str">
        <x:v>Debit</x:v>
      </x:c>
      <x:c r="C12" s="589" t="str">
        <x:v>Credit</x:v>
      </x:c>
      <x:c r="D12" s="589" t="str">
        <x:v>Explanation</x:v>
      </x:c>
    </x:row>
    <x:row r="13">
      <x:c r="A13" s="404" t="str">
        <x:v>Revenue adjustments / sales allowances</x:v>
      </x:c>
      <x:c r="B13" s="444" t="n">
        <x:v>2400</x:v>
      </x:c>
      <x:c r="C13" s="444" t="n">
        <x:v>0</x:v>
      </x:c>
      <x:c r="D13" s="404" t="str">
        <x:v>Recognize service-level credit memo in the proper period</x:v>
      </x:c>
    </x:row>
    <x:row r="14">
      <x:c r="A14" s="404" t="str">
        <x:v>Accounts receivable</x:v>
      </x:c>
      <x:c r="B14" s="444" t="n">
        <x:v>0</x:v>
      </x:c>
      <x:c r="C14" s="444" t="n">
        <x:v>2400</x:v>
      </x:c>
      <x:c r="D14" s="404" t="str">
        <x:v>Reduce customer receivable</x:v>
      </x:c>
    </x:row>
    <x:row r="15">
      <x:c r="A15" s="404" t="str">
        <x:v>Total</x:v>
      </x:c>
      <x:c r="B15" s="444" t="n">
        <x:f>SUM(B13:B14)</x:f>
        <x:v>2400</x:v>
      </x:c>
      <x:c r="C15" s="444" t="n">
        <x:f>SUM(C13:C14)</x:f>
        <x:v>2400</x:v>
      </x:c>
      <x:c r="D15" s="404" t="str">
        <x:v>Illustrative entry subject to management evaluation</x:v>
      </x:c>
    </x:row>
    <x:row r="18">
      <x:c r="A18" s="467" t="str">
        <x:v>Evaluation note: Because this is a judgmental, nonstatistical portfolio sample, no statistical projection is presented. The identified difference should be accumulated and evaluated with other audit differences in a live engagement.</x:v>
      </x:c>
      <x:c r="B18" s="467"/>
      <x:c r="C18" s="467"/>
      <x:c r="D18" s="467"/>
      <x:c r="E18" s="467"/>
      <x:c r="F18" s="467"/>
      <x:c r="G18" s="467"/>
      <x:c r="H18" s="467"/>
      <x:c r="I18" s="467"/>
    </x:row>
    <x:row r="19">
      <x:c r="A19" s="467"/>
      <x:c r="B19" s="467"/>
      <x:c r="C19" s="467"/>
      <x:c r="D19" s="467"/>
      <x:c r="E19" s="467"/>
      <x:c r="F19" s="467"/>
      <x:c r="G19" s="467"/>
      <x:c r="H19" s="467"/>
      <x:c r="I19" s="467"/>
    </x:row>
    <x:row r="20">
      <x:c r="A20" s="467"/>
      <x:c r="B20" s="467"/>
      <x:c r="C20" s="467"/>
      <x:c r="D20" s="467"/>
      <x:c r="E20" s="467"/>
      <x:c r="F20" s="467"/>
      <x:c r="G20" s="467"/>
      <x:c r="H20" s="467"/>
      <x:c r="I20" s="467"/>
    </x:row>
  </x:sheetData>
  <x:mergeCells>
    <x:mergeCell ref="A1:I2"/>
    <x:mergeCell ref="A3:I3"/>
    <x:mergeCell ref="A4:I4"/>
    <x:mergeCell ref="A11:I11"/>
    <x:mergeCell ref="A18:I20"/>
  </x:mergeCells>
  <x:conditionalFormatting sqref="F7:F7">
    <x:cfRule type="cellIs" dxfId="9" priority="1" operator="greater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2b4f1ebfbb3241b9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9" hidden="0" customWidth="1"/>
    <x:col min="4" max="4" width="37" hidden="0" customWidth="1"/>
    <x:col min="5" max="5" width="76" hidden="0" customWidth="1"/>
    <x:col min="6" max="6" width="43" hidden="0" customWidth="1"/>
  </x:cols>
  <x:sheetData>
    <x:row r="1" ht="30" customHeight="1">
      <x:c r="A1" s="3" t="str">
        <x:v>Control Checks and Source Log</x:v>
      </x:c>
      <x:c r="B1" s="3" t="str">
        <x:v>Control Checks and Source Log</x:v>
      </x:c>
      <x:c r="C1" s="3" t="str">
        <x:v>Control Checks and Source Log</x:v>
      </x:c>
      <x:c r="D1" s="3" t="str">
        <x:v>Control Checks and Source Log</x:v>
      </x:c>
      <x:c r="E1" s="3" t="str">
        <x:v>Control Checks and Source Log</x:v>
      </x:c>
      <x:c r="F1" s="3" t="str">
        <x:v>Control Checks and Source Log</x:v>
      </x:c>
    </x:row>
    <x:row r="2" ht="30" customHeight="1">
      <x:c r="A2" s="3" t="str">
        <x:v>Control Checks and Source Log</x:v>
      </x:c>
      <x:c r="B2" s="3" t="str">
        <x:v>Control Checks and Source Log</x:v>
      </x:c>
      <x:c r="C2" s="3" t="str">
        <x:v>Control Checks and Source Log</x:v>
      </x:c>
      <x:c r="D2" s="3" t="str">
        <x:v>Control Checks and Source Log</x:v>
      </x:c>
      <x:c r="E2" s="3" t="str">
        <x:v>Control Checks and Source Log</x:v>
      </x:c>
      <x:c r="F2" s="3" t="str">
        <x:v>Control Checks and Source Log</x:v>
      </x:c>
    </x:row>
    <x:row r="3" ht="22" customHeight="1">
      <x:c r="A3" s="6" t="str">
        <x:v>Reconciliation, completeness, and formula-error controls for the confirmation workpaper</x:v>
      </x:c>
      <x:c r="B3" s="6" t="str">
        <x:v>Reconciliation, completeness, and formula-error controls for the confirmation workpaper</x:v>
      </x:c>
      <x:c r="C3" s="6" t="str">
        <x:v>Reconciliation, completeness, and formula-error controls for the confirmation workpaper</x:v>
      </x:c>
      <x:c r="D3" s="6" t="str">
        <x:v>Reconciliation, completeness, and formula-error controls for the confirmation workpaper</x:v>
      </x:c>
      <x:c r="E3" s="6" t="str">
        <x:v>Reconciliation, completeness, and formula-error controls for the confirmation workpaper</x:v>
      </x:c>
      <x:c r="F3" s="6" t="str">
        <x:v>Reconciliation, completeness, and formula-error controls for the confirmation workpaper</x:v>
      </x:c>
    </x:row>
    <x:row r="4">
      <x:c r="A4" s="592" t="str">
        <x:v>MODEL STATUS</x:v>
      </x:c>
      <x:c r="B4" s="592" t="str">
        <x:f>IF(COUNTIF(B8:B15,"FAIL")=0,"PASS","REVIEW")</x:f>
        <x:v>PASS</x:v>
      </x:c>
    </x:row>
    <x:row r="7" ht="34" customHeight="1">
      <x:c r="A7" s="484" t="str">
        <x:v>Control</x:v>
      </x:c>
      <x:c r="B7" s="485" t="str">
        <x:v>Status</x:v>
      </x:c>
      <x:c r="C7" s="485" t="str">
        <x:v>Difference / Count</x:v>
      </x:c>
      <x:c r="D7" s="486" t="str">
        <x:v>Evidence</x:v>
      </x:c>
    </x:row>
    <x:row r="8" ht="30" customHeight="1">
      <x:c r="A8" s="515" t="str">
        <x:v>Population net balance ties to AR aging source</x:v>
      </x:c>
      <x:c r="B8" s="519" t="str">
        <x:f>IF(ABS(C8)&lt;0.01,"PASS","FAIL")</x:f>
        <x:v>PASS</x:v>
      </x:c>
      <x:c r="C8" s="595" t="n">
        <x:f>SUM('AR Population'!$D$7:$D$20)-311575</x:f>
        <x:v>0</x:v>
      </x:c>
      <x:c r="D8" s="596" t="str">
        <x:v>AR aging dashboard source summary</x:v>
      </x:c>
    </x:row>
    <x:row r="9" ht="30" customHeight="1">
      <x:c r="A9" s="521" t="str">
        <x:v>Positive AR exposure ties to source</x:v>
      </x:c>
      <x:c r="B9" s="525" t="str">
        <x:f>IF(ABS(C9)&lt;0.01,"PASS","FAIL")</x:f>
        <x:v>PASS</x:v>
      </x:c>
      <x:c r="C9" s="597" t="n">
        <x:f>SUMIF('AR Population'!$D$7:$D$20,"&gt;0",'AR Population'!$D$7:$D$20)-313975</x:f>
        <x:v>0</x:v>
      </x:c>
      <x:c r="D9" s="598" t="str">
        <x:v>Positive balances in population</x:v>
      </x:c>
    </x:row>
    <x:row r="10" ht="30" customHeight="1">
      <x:c r="A10" s="521" t="str">
        <x:v>Sample total agrees to selected population</x:v>
      </x:c>
      <x:c r="B10" s="525" t="str">
        <x:f>IF(ABS(C10)&lt;0.01,"PASS","FAIL")</x:f>
        <x:v>PASS</x:v>
      </x:c>
      <x:c r="C10" s="597" t="n">
        <x:f>SUM('Sample Selection'!$D$7:$D$11)-SUMIF('AR Population'!$J$7:$J$20,"Yes",'AR Population'!$D$7:$D$20)</x:f>
        <x:v>0</x:v>
      </x:c>
      <x:c r="D10" s="598" t="str">
        <x:v>Population selection flags and sample schedule</x:v>
      </x:c>
    </x:row>
    <x:row r="11" ht="30" customHeight="1">
      <x:c r="A11" s="521" t="str">
        <x:v>Sample count agrees to confirmation log</x:v>
      </x:c>
      <x:c r="B11" s="525" t="str">
        <x:f>IF(ABS(C11)&lt;0.01,"PASS","FAIL")</x:f>
        <x:v>PASS</x:v>
      </x:c>
      <x:c r="C11" s="597" t="n">
        <x:f>COUNTA('Sample Selection'!$A$7:$A$11)-COUNTA('Confirmation Log'!$A$7:$A$11)</x:f>
        <x:v>0</x:v>
      </x:c>
      <x:c r="D11" s="598" t="str">
        <x:v>Sample Selection and Confirmation Log</x:v>
      </x:c>
    </x:row>
    <x:row r="12" ht="30" customHeight="1">
      <x:c r="A12" s="521" t="str">
        <x:v>Every nonresponse has supported alternative procedures</x:v>
      </x:c>
      <x:c r="B12" s="525" t="str">
        <x:f>IF(ABS(C12)&lt;0.01,"PASS","FAIL")</x:f>
        <x:v>PASS</x:v>
      </x:c>
      <x:c r="C12" s="597" t="n">
        <x:f>COUNTIF('Confirmation Log'!$E$7:$E$11,"No Response")-COUNTIF('Alternative Procedures'!$K$7:$K$8,"Supported")</x:f>
        <x:v>0</x:v>
      </x:c>
      <x:c r="D12" s="598" t="str">
        <x:v>Confirmation Log and Alternative Procedures</x:v>
      </x:c>
    </x:row>
    <x:row r="13" ht="30" customHeight="1">
      <x:c r="A13" s="521" t="str">
        <x:v>Confirmation exceptions agree to exception schedule</x:v>
      </x:c>
      <x:c r="B13" s="525" t="str">
        <x:f>IF(ABS(C13)&lt;0.01,"PASS","FAIL")</x:f>
        <x:v>PASS</x:v>
      </x:c>
      <x:c r="C13" s="597" t="n">
        <x:f>COUNTIF('Confirmation Log'!$K$7:$K$11,"Yes")-COUNTA('Exceptions'!$A$7:$A$10)</x:f>
        <x:v>0</x:v>
      </x:c>
      <x:c r="D13" s="598" t="str">
        <x:v>Confirmation Log and Exceptions</x:v>
      </x:c>
    </x:row>
    <x:row r="14" ht="30" customHeight="1">
      <x:c r="A14" s="521" t="str">
        <x:v>Exception amount agrees across schedules</x:v>
      </x:c>
      <x:c r="B14" s="525" t="str">
        <x:f>IF(ABS(C14)&lt;0.01,"PASS","FAIL")</x:f>
        <x:v>PASS</x:v>
      </x:c>
      <x:c r="C14" s="597" t="n">
        <x:f>SUM('Confirmation Log'!$J$7:$J$11)-SUM('Exceptions'!$F$7:$F$16)</x:f>
        <x:v>0</x:v>
      </x:c>
      <x:c r="D14" s="598" t="str">
        <x:v>Confirmation difference and exception schedule</x:v>
      </x:c>
    </x:row>
    <x:row r="15" ht="30" customHeight="1">
      <x:c r="A15" s="527" t="str">
        <x:v>No confirmation result remains open</x:v>
      </x:c>
      <x:c r="B15" s="531" t="str">
        <x:f>IF(ABS(C15)&lt;0.01,"PASS","FAIL")</x:f>
        <x:v>PASS</x:v>
      </x:c>
      <x:c r="C15" s="599" t="n">
        <x:f>COUNTIF('Confirmation Log'!$L$7:$L$11,"Open")</x:f>
        <x:v>0</x:v>
      </x:c>
      <x:c r="D15" s="600" t="str">
        <x:v>Confirmation Log final result</x:v>
      </x:c>
    </x:row>
    <x:row r="18">
      <x:c r="A18" s="438" t="str">
        <x:v>SOURCE LOG</x:v>
      </x:c>
      <x:c r="B18" s="439" t="str">
        <x:v>SOURCE LOG</x:v>
      </x:c>
      <x:c r="C18" s="439" t="str">
        <x:v>SOURCE LOG</x:v>
      </x:c>
      <x:c r="D18" s="439" t="str">
        <x:v>SOURCE LOG</x:v>
      </x:c>
      <x:c r="E18" s="439" t="str">
        <x:v>SOURCE LOG</x:v>
      </x:c>
      <x:c r="F18" s="440" t="str">
        <x:v>SOURCE LOG</x:v>
      </x:c>
    </x:row>
    <x:row r="19">
      <x:c r="A19" s="603" t="str">
        <x:v>Item</x:v>
      </x:c>
      <x:c r="B19" s="603" t="str">
        <x:v>As of / Period</x:v>
      </x:c>
      <x:c r="C19" s="603" t="str">
        <x:v>Source Type</x:v>
      </x:c>
      <x:c r="D19" s="603" t="str">
        <x:v>Source Name</x:v>
      </x:c>
      <x:c r="E19" s="603" t="str">
        <x:v>Reference</x:v>
      </x:c>
      <x:c r="F19" s="603" t="str">
        <x:v>Notes</x:v>
      </x:c>
    </x:row>
    <x:row r="20" ht="48" customHeight="1">
      <x:c r="A20" s="404" t="str">
        <x:v>AR population tie-out</x:v>
      </x:c>
      <x:c r="B20" s="604" t="n">
        <x:v>46203</x:v>
      </x:c>
      <x:c r="C20" s="404" t="str">
        <x:v>Portfolio source</x:v>
      </x:c>
      <x:c r="D20" s="391" t="str">
        <x:v>customer_aging_summary_asof_2026-06-30.csv</x:v>
      </x:c>
      <x:c r="E20" s="391" t="str">
        <x:v>https://github.com/SanDAce07/accounting-projects-portfolio/blob/main/accounts-receivable/ar-aging-dashboard/customer_aging_summary_asof_2026-06-30.csv</x:v>
      </x:c>
      <x:c r="F20" s="391" t="str">
        <x:v>Synthetic customer-level aging summary.</x:v>
      </x:c>
    </x:row>
    <x:row r="21" ht="48" customHeight="1">
      <x:c r="A21" s="404" t="str">
        <x:v>Confirmation population</x:v>
      </x:c>
      <x:c r="B21" s="604" t="n">
        <x:v>46203</x:v>
      </x:c>
      <x:c r="C21" s="404" t="str">
        <x:v>Portfolio simulation</x:v>
      </x:c>
      <x:c r="D21" s="391" t="str">
        <x:v>confirmation_population.csv</x:v>
      </x:c>
      <x:c r="E21" s="391" t="str">
        <x:v>https://github.com/SanDAce07/accounting-projects-portfolio/blob/main/audit-projects/ar-confirmation-simulation/confirmation_population.csv</x:v>
      </x:c>
      <x:c r="F21" s="391" t="str">
        <x:v>Selection population and risk rationale.</x:v>
      </x:c>
    </x:row>
    <x:row r="22" ht="48" customHeight="1">
      <x:c r="A22" s="404" t="str">
        <x:v>Confirmation tracking</x:v>
      </x:c>
      <x:c r="B22" s="604" t="n">
        <x:v>46213</x:v>
      </x:c>
      <x:c r="C22" s="404" t="str">
        <x:v>Portfolio simulation</x:v>
      </x:c>
      <x:c r="D22" s="391" t="str">
        <x:v>confirmation_tracking.csv</x:v>
      </x:c>
      <x:c r="E22" s="391" t="str">
        <x:v>https://github.com/SanDAce07/accounting-projects-portfolio/blob/main/audit-projects/ar-confirmation-simulation/confirmation_tracking.csv</x:v>
      </x:c>
      <x:c r="F22" s="391" t="str">
        <x:v>Synthetic response and follow-up status.</x:v>
      </x:c>
    </x:row>
    <x:row r="23" ht="48" customHeight="1">
      <x:c r="A23" s="404" t="str">
        <x:v>Alternative procedures</x:v>
      </x:c>
      <x:c r="B23" s="604" t="n">
        <x:v>46213</x:v>
      </x:c>
      <x:c r="C23" s="404" t="str">
        <x:v>Portfolio simulation</x:v>
      </x:c>
      <x:c r="D23" s="391" t="str">
        <x:v>alternative_procedures.csv</x:v>
      </x:c>
      <x:c r="E23" s="391" t="str">
        <x:v>https://github.com/SanDAce07/accounting-projects-portfolio/blob/main/audit-projects/ar-confirmation-simulation/alternative_procedures.csv</x:v>
      </x:c>
      <x:c r="F23" s="391" t="str">
        <x:v>Synthetic supporting-procedure results.</x:v>
      </x:c>
    </x:row>
    <x:row r="26">
      <x:c r="A26" s="396" t="str">
        <x:v>REFRESH WORKFLOW</x:v>
      </x:c>
      <x:c r="B26" s="397" t="str">
        <x:v>REFRESH WORKFLOW</x:v>
      </x:c>
      <x:c r="C26" s="397" t="str">
        <x:v>REFRESH WORKFLOW</x:v>
      </x:c>
      <x:c r="D26" s="397" t="str">
        <x:v>REFRESH WORKFLOW</x:v>
      </x:c>
      <x:c r="E26" s="397" t="str">
        <x:v>REFRESH WORKFLOW</x:v>
      </x:c>
      <x:c r="F26" s="398" t="str">
        <x:v>REFRESH WORKFLOW</x:v>
      </x:c>
    </x:row>
    <x:row r="27">
      <x:c r="A27" s="400" t="n">
        <x:v>1</x:v>
      </x:c>
      <x:c r="B27" s="606" t="str">
        <x:v>Replace confirmation_population.csv and refresh the AR Population input block.</x:v>
      </x:c>
      <x:c r="C27" s="606"/>
      <x:c r="D27" s="606"/>
      <x:c r="E27" s="606"/>
      <x:c r="F27" s="606"/>
    </x:row>
    <x:row r="28">
      <x:c r="A28" s="400" t="n">
        <x:v>2</x:v>
      </x:c>
      <x:c r="B28" s="606" t="str">
        <x:v>Update selected items and verify sample coverage and rationale.</x:v>
      </x:c>
      <x:c r="C28" s="606"/>
      <x:c r="D28" s="606"/>
      <x:c r="E28" s="606"/>
      <x:c r="F28" s="606"/>
    </x:row>
    <x:row r="29">
      <x:c r="A29" s="400" t="n">
        <x:v>3</x:v>
      </x:c>
      <x:c r="B29" s="606" t="str">
        <x:v>Record confirmation responses and customer-stated balances in Confirmation Log.</x:v>
      </x:c>
      <x:c r="C29" s="606"/>
      <x:c r="D29" s="606"/>
      <x:c r="E29" s="606"/>
      <x:c r="F29" s="606"/>
    </x:row>
    <x:row r="30">
      <x:c r="A30" s="400" t="n">
        <x:v>4</x:v>
      </x:c>
      <x:c r="B30" s="606" t="str">
        <x:v>Complete alternative procedures for every nonresponse and document exceptions.</x:v>
      </x:c>
      <x:c r="C30" s="606"/>
      <x:c r="D30" s="606"/>
      <x:c r="E30" s="606"/>
      <x:c r="F30" s="606"/>
    </x:row>
    <x:row r="31">
      <x:c r="A31" s="400" t="n">
        <x:v>5</x:v>
      </x:c>
      <x:c r="B31" s="606" t="str">
        <x:v>Confirm all Control Checks report PASS before concluding.</x:v>
      </x:c>
      <x:c r="C31" s="606"/>
      <x:c r="D31" s="606"/>
      <x:c r="E31" s="606"/>
      <x:c r="F31" s="606"/>
    </x:row>
  </x:sheetData>
  <x:mergeCells>
    <x:mergeCell ref="A1:F2"/>
    <x:mergeCell ref="A3:F3"/>
    <x:mergeCell ref="A18:F18"/>
    <x:mergeCell ref="A26:F26"/>
    <x:mergeCell ref="B27:F27"/>
    <x:mergeCell ref="B28:F28"/>
    <x:mergeCell ref="B29:F29"/>
    <x:mergeCell ref="B30:F30"/>
    <x:mergeCell ref="B31:F31"/>
  </x:mergeCells>
  <x:conditionalFormatting sqref="B4:B4">
    <x:cfRule type="containsText" dxfId="10" priority="1" operator="containsText" text="PASS"/>
  </x:conditionalFormatting>
  <x:conditionalFormatting sqref="B8:B15">
    <x:cfRule type="containsText" dxfId="11" priority="2" operator="containsText" text="PASS"/>
    <x:cfRule type="containsText" dxfId="12" priority="3" operator="containsText" text="FAIL"/>
  </x:conditionalFormatting>
  <x:pageMargins left="0.7" right="0.7" top="0.75" bottom="0.75" header="0.3" footer="0.3"/>
</x:worksheet>
</file>