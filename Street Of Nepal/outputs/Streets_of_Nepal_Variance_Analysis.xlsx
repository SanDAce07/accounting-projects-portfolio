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ndard Cost Cards" sheetId="2" state="visible" r:id="rId2"/>
    <sheet xmlns:r="http://schemas.openxmlformats.org/officeDocument/2006/relationships" name="Daily Data" sheetId="3" state="visible" r:id="rId3"/>
    <sheet xmlns:r="http://schemas.openxmlformats.org/officeDocument/2006/relationships" name="Variance Calc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;(0.000);&quot;-&quot;"/>
    <numFmt numFmtId="165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2E5395"/>
      <sz val="22"/>
    </font>
    <font>
      <name val="Arial"/>
      <b val="1"/>
      <sz val="13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10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double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5" fontId="3" fillId="0" borderId="1" pivotButton="0" quotePrefix="0" xfId="0"/>
    <xf numFmtId="165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0" fontId="4" fillId="0" borderId="1" pivotButton="0" quotePrefix="0" xfId="0"/>
    <xf numFmtId="3" fontId="3" fillId="0" borderId="1" pivotButton="0" quotePrefix="0" xfId="0"/>
    <xf numFmtId="3" fontId="4" fillId="0" borderId="1" pivotButton="0" quotePrefix="0" xfId="0"/>
    <xf numFmtId="0" fontId="4" fillId="3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Variance by Dish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'Dashboard'!$B$6:$B$9</f>
            </numRef>
          </cat>
          <val>
            <numRef>
              <f>'Dashboard'!$J$6:$J$9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</cols>
  <sheetData>
    <row r="2">
      <c r="B2" s="1" t="inlineStr">
        <is>
          <t>Streets of Nepal</t>
        </is>
      </c>
    </row>
    <row r="3">
      <c r="B3" s="2" t="inlineStr">
        <is>
          <t>Standard Costing Variance Analysis — April 2026</t>
        </is>
      </c>
    </row>
    <row r="5">
      <c r="B5" s="3" t="inlineStr">
        <is>
          <t>Prepared by: Sandesh Lama Tamang</t>
        </is>
      </c>
    </row>
    <row r="6" ht="30" customHeight="1">
      <c r="B6" s="4" t="inlineStr">
        <is>
          <t>Purpose: Analyze material and labor variances against standard cost cards for four signature dishes, and surface patterns that may indicate operational or control issues.</t>
        </is>
      </c>
    </row>
    <row r="9">
      <c r="B9" s="5" t="inlineStr">
        <is>
          <t>Workbook Contents</t>
        </is>
      </c>
    </row>
    <row r="10">
      <c r="B10" s="5" t="inlineStr">
        <is>
          <t>Sheet</t>
        </is>
      </c>
      <c r="C10" s="5" t="inlineStr">
        <is>
          <t>Contents</t>
        </is>
      </c>
    </row>
    <row r="11">
      <c r="B11" s="3" t="inlineStr">
        <is>
          <t>Standard Cost Cards</t>
        </is>
      </c>
      <c r="C11" s="3" t="inlineStr">
        <is>
          <t>Standard material quantity/price and labor minutes/rate per dish</t>
        </is>
      </c>
    </row>
    <row r="12">
      <c r="B12" s="3" t="inlineStr">
        <is>
          <t>Daily Data</t>
        </is>
      </c>
      <c r="C12" s="3" t="inlineStr">
        <is>
          <t>Raw daily order volume and actual material/labor figures</t>
        </is>
      </c>
    </row>
    <row r="13">
      <c r="B13" s="3" t="inlineStr">
        <is>
          <t>Variance Calcs</t>
        </is>
      </c>
      <c r="C13" s="3" t="inlineStr">
        <is>
          <t>Formula-driven MPV, MQV, LRV, LEV for every dish-day</t>
        </is>
      </c>
    </row>
    <row r="14">
      <c r="B14" s="3" t="inlineStr">
        <is>
          <t>Dashboard</t>
        </is>
      </c>
      <c r="C14" s="3" t="inlineStr">
        <is>
          <t>Monthly summary by dish, conditional formatting, chart, and red-flag callouts</t>
        </is>
      </c>
    </row>
    <row r="17">
      <c r="B17" s="6" t="inlineStr">
        <is>
          <t>Color key: Blue = input cell  |  Black = formula  |  Yellow = key assumption  |  Red fill = unfavorable / flagged</t>
        </is>
      </c>
    </row>
  </sheetData>
  <mergeCells count="7">
    <mergeCell ref="C11:H11"/>
    <mergeCell ref="C10:H10"/>
    <mergeCell ref="B17:H17"/>
    <mergeCell ref="C14:H14"/>
    <mergeCell ref="C13:H13"/>
    <mergeCell ref="B6:H6"/>
    <mergeCell ref="C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2">
      <c r="B2" s="7" t="inlineStr">
        <is>
          <t>Standard Cost Cards</t>
        </is>
      </c>
    </row>
    <row r="3">
      <c r="B3" s="6" t="inlineStr">
        <is>
          <t>All blue cells are hardcoded standard-cost assumptions, set by management at the start of the period.</t>
        </is>
      </c>
    </row>
    <row r="5">
      <c r="B5" s="8" t="inlineStr">
        <is>
          <t>Dish</t>
        </is>
      </c>
      <c r="C5" s="8" t="inlineStr">
        <is>
          <t>Std Material Qty (lb/order)</t>
        </is>
      </c>
      <c r="D5" s="8" t="inlineStr">
        <is>
          <t>Std Material Price ($/lb)</t>
        </is>
      </c>
      <c r="E5" s="8" t="inlineStr">
        <is>
          <t>Std Material Cost/Order</t>
        </is>
      </c>
      <c r="F5" s="8" t="inlineStr">
        <is>
          <t>Std Labor Minutes/Order</t>
        </is>
      </c>
      <c r="G5" s="8" t="inlineStr">
        <is>
          <t>Std Labor Rate ($/hr)</t>
        </is>
      </c>
      <c r="H5" s="8" t="inlineStr">
        <is>
          <t>Std Labor Cost/Order</t>
        </is>
      </c>
      <c r="I5" s="8" t="inlineStr">
        <is>
          <t>Std Total Cost/Order</t>
        </is>
      </c>
    </row>
    <row r="6">
      <c r="B6" s="9" t="inlineStr">
        <is>
          <t>Chicken Momos</t>
        </is>
      </c>
      <c r="C6" s="10" t="n">
        <v>0.35</v>
      </c>
      <c r="D6" s="11" t="n">
        <v>3.8</v>
      </c>
      <c r="E6" s="12">
        <f>C6*D6</f>
        <v/>
      </c>
      <c r="F6" s="10" t="n">
        <v>6</v>
      </c>
      <c r="G6" s="11" t="n">
        <v>13.5</v>
      </c>
      <c r="H6" s="12">
        <f>(F6/60)*G6</f>
        <v/>
      </c>
      <c r="I6" s="13">
        <f>E6+H6</f>
        <v/>
      </c>
    </row>
    <row r="7">
      <c r="B7" s="9" t="inlineStr">
        <is>
          <t>Veg Thukpa</t>
        </is>
      </c>
      <c r="C7" s="10" t="n">
        <v>0.6</v>
      </c>
      <c r="D7" s="11" t="n">
        <v>2.1</v>
      </c>
      <c r="E7" s="12">
        <f>C7*D7</f>
        <v/>
      </c>
      <c r="F7" s="10" t="n">
        <v>8</v>
      </c>
      <c r="G7" s="11" t="n">
        <v>13.5</v>
      </c>
      <c r="H7" s="12">
        <f>(F7/60)*G7</f>
        <v/>
      </c>
      <c r="I7" s="13">
        <f>E7+H7</f>
        <v/>
      </c>
    </row>
    <row r="8">
      <c r="B8" s="9" t="inlineStr">
        <is>
          <t>Chow Mein (Chicken)</t>
        </is>
      </c>
      <c r="C8" s="10" t="n">
        <v>0.5</v>
      </c>
      <c r="D8" s="11" t="n">
        <v>3.2</v>
      </c>
      <c r="E8" s="12">
        <f>C8*D8</f>
        <v/>
      </c>
      <c r="F8" s="10" t="n">
        <v>7</v>
      </c>
      <c r="G8" s="11" t="n">
        <v>13.5</v>
      </c>
      <c r="H8" s="12">
        <f>(F8/60)*G8</f>
        <v/>
      </c>
      <c r="I8" s="13">
        <f>E8+H8</f>
        <v/>
      </c>
    </row>
    <row r="9">
      <c r="B9" s="9" t="inlineStr">
        <is>
          <t>Lamb Sekuwa</t>
        </is>
      </c>
      <c r="C9" s="10" t="n">
        <v>0.45</v>
      </c>
      <c r="D9" s="11" t="n">
        <v>6.5</v>
      </c>
      <c r="E9" s="12">
        <f>C9*D9</f>
        <v/>
      </c>
      <c r="F9" s="10" t="n">
        <v>10</v>
      </c>
      <c r="G9" s="11" t="n">
        <v>14.5</v>
      </c>
      <c r="H9" s="12">
        <f>(F9/60)*G9</f>
        <v/>
      </c>
      <c r="I9" s="13">
        <f>E9+H9</f>
        <v/>
      </c>
    </row>
  </sheetData>
  <mergeCells count="1"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7" t="inlineStr">
        <is>
          <t>Daily Actuals — April 2026 (26 operating days x 4 dishes)</t>
        </is>
      </c>
    </row>
    <row r="2">
      <c r="A2" s="6" t="inlineStr">
        <is>
          <t>Source: POS order counts and kitchen/purchasing logs (blue = actual recorded inputs).</t>
        </is>
      </c>
    </row>
    <row r="4">
      <c r="A4" s="8" t="inlineStr">
        <is>
          <t>Dish</t>
        </is>
      </c>
      <c r="B4" s="8" t="inlineStr">
        <is>
          <t>Day</t>
        </is>
      </c>
      <c r="C4" s="8" t="inlineStr">
        <is>
          <t>Orders</t>
        </is>
      </c>
      <c r="D4" s="8" t="inlineStr">
        <is>
          <t>Std Mat Qty/Order</t>
        </is>
      </c>
      <c r="E4" s="8" t="inlineStr">
        <is>
          <t>Std Mat Price</t>
        </is>
      </c>
      <c r="F4" s="8" t="inlineStr">
        <is>
          <t>Actual Mat Price</t>
        </is>
      </c>
      <c r="G4" s="8" t="inlineStr">
        <is>
          <t>Actual Mat Qty/Order</t>
        </is>
      </c>
      <c r="H4" s="8" t="inlineStr">
        <is>
          <t>Std Labor Min/Order</t>
        </is>
      </c>
      <c r="I4" s="8" t="inlineStr">
        <is>
          <t>Std Labor Rate</t>
        </is>
      </c>
      <c r="J4" s="8" t="inlineStr">
        <is>
          <t>Actual Labor Min/Order</t>
        </is>
      </c>
      <c r="K4" s="8" t="inlineStr">
        <is>
          <t>Actual Labor Rate</t>
        </is>
      </c>
    </row>
    <row r="5">
      <c r="A5" s="14" t="inlineStr">
        <is>
          <t>Chicken Momos</t>
        </is>
      </c>
      <c r="B5" s="14" t="n">
        <v>1</v>
      </c>
      <c r="C5" s="14" t="n">
        <v>90</v>
      </c>
      <c r="D5" s="15" t="n">
        <v>0.35</v>
      </c>
      <c r="E5" s="16" t="n">
        <v>3.8</v>
      </c>
      <c r="F5" s="16" t="n">
        <v>3.7295</v>
      </c>
      <c r="G5" s="15" t="n">
        <v>0.3605</v>
      </c>
      <c r="H5" s="15" t="n">
        <v>6</v>
      </c>
      <c r="I5" s="16" t="n">
        <v>13.5</v>
      </c>
      <c r="J5" s="15" t="n">
        <v>5.6285</v>
      </c>
      <c r="K5" s="16" t="n">
        <v>13.4684</v>
      </c>
    </row>
    <row r="6">
      <c r="A6" s="14" t="inlineStr">
        <is>
          <t>Chicken Momos</t>
        </is>
      </c>
      <c r="B6" s="14" t="n">
        <v>2</v>
      </c>
      <c r="C6" s="14" t="n">
        <v>82</v>
      </c>
      <c r="D6" s="15" t="n">
        <v>0.35</v>
      </c>
      <c r="E6" s="16" t="n">
        <v>3.8</v>
      </c>
      <c r="F6" s="16" t="n">
        <v>3.7556</v>
      </c>
      <c r="G6" s="15" t="n">
        <v>0.362</v>
      </c>
      <c r="H6" s="15" t="n">
        <v>6</v>
      </c>
      <c r="I6" s="16" t="n">
        <v>13.5</v>
      </c>
      <c r="J6" s="15" t="n">
        <v>5.3296</v>
      </c>
      <c r="K6" s="16" t="n">
        <v>13.5732</v>
      </c>
    </row>
    <row r="7">
      <c r="A7" s="14" t="inlineStr">
        <is>
          <t>Chicken Momos</t>
        </is>
      </c>
      <c r="B7" s="14" t="n">
        <v>3</v>
      </c>
      <c r="C7" s="14" t="n">
        <v>80</v>
      </c>
      <c r="D7" s="15" t="n">
        <v>0.35</v>
      </c>
      <c r="E7" s="16" t="n">
        <v>3.8</v>
      </c>
      <c r="F7" s="16" t="n">
        <v>3.7245</v>
      </c>
      <c r="G7" s="15" t="n">
        <v>0.359</v>
      </c>
      <c r="H7" s="15" t="n">
        <v>6</v>
      </c>
      <c r="I7" s="16" t="n">
        <v>13.5</v>
      </c>
      <c r="J7" s="15" t="n">
        <v>5.113</v>
      </c>
      <c r="K7" s="16" t="n">
        <v>13.2671</v>
      </c>
    </row>
    <row r="8">
      <c r="A8" s="14" t="inlineStr">
        <is>
          <t>Chicken Momos</t>
        </is>
      </c>
      <c r="B8" s="14" t="n">
        <v>4</v>
      </c>
      <c r="C8" s="14" t="n">
        <v>79</v>
      </c>
      <c r="D8" s="15" t="n">
        <v>0.35</v>
      </c>
      <c r="E8" s="16" t="n">
        <v>3.8</v>
      </c>
      <c r="F8" s="16" t="n">
        <v>3.7162</v>
      </c>
      <c r="G8" s="15" t="n">
        <v>0.3601</v>
      </c>
      <c r="H8" s="15" t="n">
        <v>6</v>
      </c>
      <c r="I8" s="16" t="n">
        <v>13.5</v>
      </c>
      <c r="J8" s="15" t="n">
        <v>5.2638</v>
      </c>
      <c r="K8" s="16" t="n">
        <v>13.3093</v>
      </c>
    </row>
    <row r="9">
      <c r="A9" s="14" t="inlineStr">
        <is>
          <t>Chicken Momos</t>
        </is>
      </c>
      <c r="B9" s="14" t="n">
        <v>5</v>
      </c>
      <c r="C9" s="14" t="n">
        <v>99</v>
      </c>
      <c r="D9" s="15" t="n">
        <v>0.35</v>
      </c>
      <c r="E9" s="16" t="n">
        <v>3.8</v>
      </c>
      <c r="F9" s="16" t="n">
        <v>3.7282</v>
      </c>
      <c r="G9" s="15" t="n">
        <v>0.3591</v>
      </c>
      <c r="H9" s="15" t="n">
        <v>6</v>
      </c>
      <c r="I9" s="16" t="n">
        <v>13.5</v>
      </c>
      <c r="J9" s="15" t="n">
        <v>5.1863</v>
      </c>
      <c r="K9" s="16" t="n">
        <v>13.4265</v>
      </c>
    </row>
    <row r="10">
      <c r="A10" s="14" t="inlineStr">
        <is>
          <t>Chicken Momos</t>
        </is>
      </c>
      <c r="B10" s="14" t="n">
        <v>6</v>
      </c>
      <c r="C10" s="14" t="n">
        <v>86</v>
      </c>
      <c r="D10" s="15" t="n">
        <v>0.35</v>
      </c>
      <c r="E10" s="16" t="n">
        <v>3.8</v>
      </c>
      <c r="F10" s="16" t="n">
        <v>3.7141</v>
      </c>
      <c r="G10" s="15" t="n">
        <v>0.3619</v>
      </c>
      <c r="H10" s="15" t="n">
        <v>6</v>
      </c>
      <c r="I10" s="16" t="n">
        <v>13.5</v>
      </c>
      <c r="J10" s="15" t="n">
        <v>5.3099</v>
      </c>
      <c r="K10" s="16" t="n">
        <v>13.4606</v>
      </c>
    </row>
    <row r="11">
      <c r="A11" s="14" t="inlineStr">
        <is>
          <t>Chicken Momos</t>
        </is>
      </c>
      <c r="B11" s="14" t="n">
        <v>7</v>
      </c>
      <c r="C11" s="14" t="n">
        <v>78</v>
      </c>
      <c r="D11" s="15" t="n">
        <v>0.35</v>
      </c>
      <c r="E11" s="16" t="n">
        <v>3.8</v>
      </c>
      <c r="F11" s="16" t="n">
        <v>3.7598</v>
      </c>
      <c r="G11" s="15" t="n">
        <v>0.3599</v>
      </c>
      <c r="H11" s="15" t="n">
        <v>6</v>
      </c>
      <c r="I11" s="16" t="n">
        <v>13.5</v>
      </c>
      <c r="J11" s="15" t="n">
        <v>5.2413</v>
      </c>
      <c r="K11" s="16" t="n">
        <v>13.611</v>
      </c>
    </row>
    <row r="12">
      <c r="A12" s="14" t="inlineStr">
        <is>
          <t>Chicken Momos</t>
        </is>
      </c>
      <c r="B12" s="14" t="n">
        <v>8</v>
      </c>
      <c r="C12" s="14" t="n">
        <v>72</v>
      </c>
      <c r="D12" s="15" t="n">
        <v>0.35</v>
      </c>
      <c r="E12" s="16" t="n">
        <v>3.8</v>
      </c>
      <c r="F12" s="16" t="n">
        <v>3.7348</v>
      </c>
      <c r="G12" s="15" t="n">
        <v>0.3469</v>
      </c>
      <c r="H12" s="15" t="n">
        <v>6</v>
      </c>
      <c r="I12" s="16" t="n">
        <v>13.5</v>
      </c>
      <c r="J12" s="15" t="n">
        <v>5.2008</v>
      </c>
      <c r="K12" s="16" t="n">
        <v>13.5266</v>
      </c>
    </row>
    <row r="13">
      <c r="A13" s="14" t="inlineStr">
        <is>
          <t>Chicken Momos</t>
        </is>
      </c>
      <c r="B13" s="14" t="n">
        <v>9</v>
      </c>
      <c r="C13" s="14" t="n">
        <v>92</v>
      </c>
      <c r="D13" s="15" t="n">
        <v>0.35</v>
      </c>
      <c r="E13" s="16" t="n">
        <v>3.8</v>
      </c>
      <c r="F13" s="16" t="n">
        <v>3.7342</v>
      </c>
      <c r="G13" s="15" t="n">
        <v>0.3605</v>
      </c>
      <c r="H13" s="15" t="n">
        <v>6</v>
      </c>
      <c r="I13" s="16" t="n">
        <v>13.5</v>
      </c>
      <c r="J13" s="15" t="n">
        <v>5.3548</v>
      </c>
      <c r="K13" s="16" t="n">
        <v>13.3004</v>
      </c>
    </row>
    <row r="14">
      <c r="A14" s="14" t="inlineStr">
        <is>
          <t>Chicken Momos</t>
        </is>
      </c>
      <c r="B14" s="14" t="n">
        <v>10</v>
      </c>
      <c r="C14" s="14" t="n">
        <v>77</v>
      </c>
      <c r="D14" s="15" t="n">
        <v>0.35</v>
      </c>
      <c r="E14" s="16" t="n">
        <v>3.8</v>
      </c>
      <c r="F14" s="16" t="n">
        <v>3.7246</v>
      </c>
      <c r="G14" s="15" t="n">
        <v>0.3694</v>
      </c>
      <c r="H14" s="15" t="n">
        <v>6</v>
      </c>
      <c r="I14" s="16" t="n">
        <v>13.5</v>
      </c>
      <c r="J14" s="15" t="n">
        <v>5.4515</v>
      </c>
      <c r="K14" s="16" t="n">
        <v>13.262</v>
      </c>
    </row>
    <row r="15">
      <c r="A15" s="14" t="inlineStr">
        <is>
          <t>Chicken Momos</t>
        </is>
      </c>
      <c r="B15" s="14" t="n">
        <v>11</v>
      </c>
      <c r="C15" s="14" t="n">
        <v>88</v>
      </c>
      <c r="D15" s="15" t="n">
        <v>0.35</v>
      </c>
      <c r="E15" s="16" t="n">
        <v>3.8</v>
      </c>
      <c r="F15" s="16" t="n">
        <v>3.7257</v>
      </c>
      <c r="G15" s="15" t="n">
        <v>0.3579</v>
      </c>
      <c r="H15" s="15" t="n">
        <v>6</v>
      </c>
      <c r="I15" s="16" t="n">
        <v>13.5</v>
      </c>
      <c r="J15" s="15" t="n">
        <v>5.4918</v>
      </c>
      <c r="K15" s="16" t="n">
        <v>13.6392</v>
      </c>
    </row>
    <row r="16">
      <c r="A16" s="14" t="inlineStr">
        <is>
          <t>Chicken Momos</t>
        </is>
      </c>
      <c r="B16" s="14" t="n">
        <v>12</v>
      </c>
      <c r="C16" s="14" t="n">
        <v>94</v>
      </c>
      <c r="D16" s="15" t="n">
        <v>0.35</v>
      </c>
      <c r="E16" s="16" t="n">
        <v>3.8</v>
      </c>
      <c r="F16" s="16" t="n">
        <v>3.7188</v>
      </c>
      <c r="G16" s="15" t="n">
        <v>0.3612</v>
      </c>
      <c r="H16" s="15" t="n">
        <v>6</v>
      </c>
      <c r="I16" s="16" t="n">
        <v>13.5</v>
      </c>
      <c r="J16" s="15" t="n">
        <v>5.4497</v>
      </c>
      <c r="K16" s="16" t="n">
        <v>13.6317</v>
      </c>
    </row>
    <row r="17">
      <c r="A17" s="14" t="inlineStr">
        <is>
          <t>Chicken Momos</t>
        </is>
      </c>
      <c r="B17" s="14" t="n">
        <v>13</v>
      </c>
      <c r="C17" s="14" t="n">
        <v>80</v>
      </c>
      <c r="D17" s="15" t="n">
        <v>0.35</v>
      </c>
      <c r="E17" s="16" t="n">
        <v>3.8</v>
      </c>
      <c r="F17" s="16" t="n">
        <v>3.7288</v>
      </c>
      <c r="G17" s="15" t="n">
        <v>0.3563</v>
      </c>
      <c r="H17" s="15" t="n">
        <v>6</v>
      </c>
      <c r="I17" s="16" t="n">
        <v>13.5</v>
      </c>
      <c r="J17" s="15" t="n">
        <v>5.2206</v>
      </c>
      <c r="K17" s="16" t="n">
        <v>13.6097</v>
      </c>
    </row>
    <row r="18">
      <c r="A18" s="14" t="inlineStr">
        <is>
          <t>Chicken Momos</t>
        </is>
      </c>
      <c r="B18" s="14" t="n">
        <v>14</v>
      </c>
      <c r="C18" s="14" t="n">
        <v>98</v>
      </c>
      <c r="D18" s="15" t="n">
        <v>0.35</v>
      </c>
      <c r="E18" s="16" t="n">
        <v>3.8</v>
      </c>
      <c r="F18" s="16" t="n">
        <v>3.7305</v>
      </c>
      <c r="G18" s="15" t="n">
        <v>0.3717</v>
      </c>
      <c r="H18" s="15" t="n">
        <v>6</v>
      </c>
      <c r="I18" s="16" t="n">
        <v>13.5</v>
      </c>
      <c r="J18" s="15" t="n">
        <v>5.4542</v>
      </c>
      <c r="K18" s="16" t="n">
        <v>13.4129</v>
      </c>
    </row>
    <row r="19">
      <c r="A19" s="14" t="inlineStr">
        <is>
          <t>Chicken Momos</t>
        </is>
      </c>
      <c r="B19" s="14" t="n">
        <v>15</v>
      </c>
      <c r="C19" s="14" t="n">
        <v>88</v>
      </c>
      <c r="D19" s="15" t="n">
        <v>0.35</v>
      </c>
      <c r="E19" s="16" t="n">
        <v>3.8</v>
      </c>
      <c r="F19" s="16" t="n">
        <v>3.755</v>
      </c>
      <c r="G19" s="15" t="n">
        <v>0.3651</v>
      </c>
      <c r="H19" s="15" t="n">
        <v>6</v>
      </c>
      <c r="I19" s="16" t="n">
        <v>13.5</v>
      </c>
      <c r="J19" s="15" t="n">
        <v>5.6347</v>
      </c>
      <c r="K19" s="16" t="n">
        <v>13.1463</v>
      </c>
    </row>
    <row r="20">
      <c r="A20" s="14" t="inlineStr">
        <is>
          <t>Chicken Momos</t>
        </is>
      </c>
      <c r="B20" s="14" t="n">
        <v>16</v>
      </c>
      <c r="C20" s="14" t="n">
        <v>93</v>
      </c>
      <c r="D20" s="15" t="n">
        <v>0.35</v>
      </c>
      <c r="E20" s="16" t="n">
        <v>3.8</v>
      </c>
      <c r="F20" s="16" t="n">
        <v>3.7329</v>
      </c>
      <c r="G20" s="15" t="n">
        <v>0.3639</v>
      </c>
      <c r="H20" s="15" t="n">
        <v>6</v>
      </c>
      <c r="I20" s="16" t="n">
        <v>13.5</v>
      </c>
      <c r="J20" s="15" t="n">
        <v>5.4138</v>
      </c>
      <c r="K20" s="16" t="n">
        <v>13.2317</v>
      </c>
    </row>
    <row r="21">
      <c r="A21" s="14" t="inlineStr">
        <is>
          <t>Chicken Momos</t>
        </is>
      </c>
      <c r="B21" s="14" t="n">
        <v>17</v>
      </c>
      <c r="C21" s="14" t="n">
        <v>82</v>
      </c>
      <c r="D21" s="15" t="n">
        <v>0.35</v>
      </c>
      <c r="E21" s="16" t="n">
        <v>3.8</v>
      </c>
      <c r="F21" s="16" t="n">
        <v>3.737</v>
      </c>
      <c r="G21" s="15" t="n">
        <v>0.377</v>
      </c>
      <c r="H21" s="15" t="n">
        <v>6</v>
      </c>
      <c r="I21" s="16" t="n">
        <v>13.5</v>
      </c>
      <c r="J21" s="15" t="n">
        <v>5.3223</v>
      </c>
      <c r="K21" s="16" t="n">
        <v>13.3909</v>
      </c>
    </row>
    <row r="22">
      <c r="A22" s="14" t="inlineStr">
        <is>
          <t>Chicken Momos</t>
        </is>
      </c>
      <c r="B22" s="14" t="n">
        <v>18</v>
      </c>
      <c r="C22" s="14" t="n">
        <v>79</v>
      </c>
      <c r="D22" s="15" t="n">
        <v>0.35</v>
      </c>
      <c r="E22" s="16" t="n">
        <v>3.8</v>
      </c>
      <c r="F22" s="16" t="n">
        <v>3.7455</v>
      </c>
      <c r="G22" s="15" t="n">
        <v>0.3697</v>
      </c>
      <c r="H22" s="15" t="n">
        <v>6</v>
      </c>
      <c r="I22" s="16" t="n">
        <v>13.5</v>
      </c>
      <c r="J22" s="15" t="n">
        <v>5.3205</v>
      </c>
      <c r="K22" s="16" t="n">
        <v>13.5693</v>
      </c>
    </row>
    <row r="23">
      <c r="A23" s="14" t="inlineStr">
        <is>
          <t>Chicken Momos</t>
        </is>
      </c>
      <c r="B23" s="14" t="n">
        <v>19</v>
      </c>
      <c r="C23" s="14" t="n">
        <v>85</v>
      </c>
      <c r="D23" s="15" t="n">
        <v>0.35</v>
      </c>
      <c r="E23" s="16" t="n">
        <v>3.8</v>
      </c>
      <c r="F23" s="16" t="n">
        <v>3.7463</v>
      </c>
      <c r="G23" s="15" t="n">
        <v>0.3631</v>
      </c>
      <c r="H23" s="15" t="n">
        <v>6</v>
      </c>
      <c r="I23" s="16" t="n">
        <v>13.5</v>
      </c>
      <c r="J23" s="15" t="n">
        <v>5.3509</v>
      </c>
      <c r="K23" s="16" t="n">
        <v>13.4471</v>
      </c>
    </row>
    <row r="24">
      <c r="A24" s="14" t="inlineStr">
        <is>
          <t>Chicken Momos</t>
        </is>
      </c>
      <c r="B24" s="14" t="n">
        <v>20</v>
      </c>
      <c r="C24" s="14" t="n">
        <v>70</v>
      </c>
      <c r="D24" s="15" t="n">
        <v>0.35</v>
      </c>
      <c r="E24" s="16" t="n">
        <v>3.8</v>
      </c>
      <c r="F24" s="16" t="n">
        <v>3.7361</v>
      </c>
      <c r="G24" s="15" t="n">
        <v>0.3705</v>
      </c>
      <c r="H24" s="15" t="n">
        <v>6</v>
      </c>
      <c r="I24" s="16" t="n">
        <v>13.5</v>
      </c>
      <c r="J24" s="15" t="n">
        <v>5.4008</v>
      </c>
      <c r="K24" s="16" t="n">
        <v>13.4683</v>
      </c>
    </row>
    <row r="25">
      <c r="A25" s="14" t="inlineStr">
        <is>
          <t>Chicken Momos</t>
        </is>
      </c>
      <c r="B25" s="14" t="n">
        <v>21</v>
      </c>
      <c r="C25" s="14" t="n">
        <v>70</v>
      </c>
      <c r="D25" s="15" t="n">
        <v>0.35</v>
      </c>
      <c r="E25" s="16" t="n">
        <v>3.8</v>
      </c>
      <c r="F25" s="16" t="n">
        <v>3.7252</v>
      </c>
      <c r="G25" s="15" t="n">
        <v>0.367</v>
      </c>
      <c r="H25" s="15" t="n">
        <v>6</v>
      </c>
      <c r="I25" s="16" t="n">
        <v>13.5</v>
      </c>
      <c r="J25" s="15" t="n">
        <v>5.2797</v>
      </c>
      <c r="K25" s="16" t="n">
        <v>13.4782</v>
      </c>
    </row>
    <row r="26">
      <c r="A26" s="14" t="inlineStr">
        <is>
          <t>Chicken Momos</t>
        </is>
      </c>
      <c r="B26" s="14" t="n">
        <v>22</v>
      </c>
      <c r="C26" s="14" t="n">
        <v>89</v>
      </c>
      <c r="D26" s="15" t="n">
        <v>0.35</v>
      </c>
      <c r="E26" s="16" t="n">
        <v>3.8</v>
      </c>
      <c r="F26" s="16" t="n">
        <v>3.7603</v>
      </c>
      <c r="G26" s="15" t="n">
        <v>0.3713</v>
      </c>
      <c r="H26" s="15" t="n">
        <v>6</v>
      </c>
      <c r="I26" s="16" t="n">
        <v>13.5</v>
      </c>
      <c r="J26" s="15" t="n">
        <v>5.4386</v>
      </c>
      <c r="K26" s="16" t="n">
        <v>13.4899</v>
      </c>
    </row>
    <row r="27">
      <c r="A27" s="14" t="inlineStr">
        <is>
          <t>Chicken Momos</t>
        </is>
      </c>
      <c r="B27" s="14" t="n">
        <v>23</v>
      </c>
      <c r="C27" s="14" t="n">
        <v>65</v>
      </c>
      <c r="D27" s="15" t="n">
        <v>0.35</v>
      </c>
      <c r="E27" s="16" t="n">
        <v>3.8</v>
      </c>
      <c r="F27" s="16" t="n">
        <v>3.7312</v>
      </c>
      <c r="G27" s="15" t="n">
        <v>0.3712</v>
      </c>
      <c r="H27" s="15" t="n">
        <v>6</v>
      </c>
      <c r="I27" s="16" t="n">
        <v>13.5</v>
      </c>
      <c r="J27" s="15" t="n">
        <v>5.7695</v>
      </c>
      <c r="K27" s="16" t="n">
        <v>13.474</v>
      </c>
    </row>
    <row r="28">
      <c r="A28" s="14" t="inlineStr">
        <is>
          <t>Chicken Momos</t>
        </is>
      </c>
      <c r="B28" s="14" t="n">
        <v>24</v>
      </c>
      <c r="C28" s="14" t="n">
        <v>88</v>
      </c>
      <c r="D28" s="15" t="n">
        <v>0.35</v>
      </c>
      <c r="E28" s="16" t="n">
        <v>3.8</v>
      </c>
      <c r="F28" s="16" t="n">
        <v>3.6191</v>
      </c>
      <c r="G28" s="15" t="n">
        <v>0.3632</v>
      </c>
      <c r="H28" s="15" t="n">
        <v>6</v>
      </c>
      <c r="I28" s="16" t="n">
        <v>13.5</v>
      </c>
      <c r="J28" s="15" t="n">
        <v>4.7357</v>
      </c>
      <c r="K28" s="16" t="n">
        <v>13.6015</v>
      </c>
    </row>
    <row r="29">
      <c r="A29" s="14" t="inlineStr">
        <is>
          <t>Chicken Momos</t>
        </is>
      </c>
      <c r="B29" s="14" t="n">
        <v>25</v>
      </c>
      <c r="C29" s="14" t="n">
        <v>93</v>
      </c>
      <c r="D29" s="15" t="n">
        <v>0.35</v>
      </c>
      <c r="E29" s="16" t="n">
        <v>3.8</v>
      </c>
      <c r="F29" s="16" t="n">
        <v>3.6062</v>
      </c>
      <c r="G29" s="15" t="n">
        <v>0.3819</v>
      </c>
      <c r="H29" s="15" t="n">
        <v>6</v>
      </c>
      <c r="I29" s="16" t="n">
        <v>13.5</v>
      </c>
      <c r="J29" s="15" t="n">
        <v>4.4113</v>
      </c>
      <c r="K29" s="16" t="n">
        <v>13.5792</v>
      </c>
    </row>
    <row r="30">
      <c r="A30" s="14" t="inlineStr">
        <is>
          <t>Chicken Momos</t>
        </is>
      </c>
      <c r="B30" s="14" t="n">
        <v>26</v>
      </c>
      <c r="C30" s="14" t="n">
        <v>107</v>
      </c>
      <c r="D30" s="15" t="n">
        <v>0.35</v>
      </c>
      <c r="E30" s="16" t="n">
        <v>3.8</v>
      </c>
      <c r="F30" s="16" t="n">
        <v>3.605</v>
      </c>
      <c r="G30" s="15" t="n">
        <v>0.3688</v>
      </c>
      <c r="H30" s="15" t="n">
        <v>6</v>
      </c>
      <c r="I30" s="16" t="n">
        <v>13.5</v>
      </c>
      <c r="J30" s="15" t="n">
        <v>4.6027</v>
      </c>
      <c r="K30" s="16" t="n">
        <v>13.432</v>
      </c>
    </row>
    <row r="31">
      <c r="A31" s="14" t="inlineStr">
        <is>
          <t>Veg Thukpa</t>
        </is>
      </c>
      <c r="B31" s="14" t="n">
        <v>1</v>
      </c>
      <c r="C31" s="14" t="n">
        <v>32</v>
      </c>
      <c r="D31" s="15" t="n">
        <v>0.6</v>
      </c>
      <c r="E31" s="16" t="n">
        <v>2.1</v>
      </c>
      <c r="F31" s="16" t="n">
        <v>2.0628</v>
      </c>
      <c r="G31" s="15" t="n">
        <v>0.5974</v>
      </c>
      <c r="H31" s="15" t="n">
        <v>8</v>
      </c>
      <c r="I31" s="16" t="n">
        <v>13.5</v>
      </c>
      <c r="J31" s="15" t="n">
        <v>8.2842</v>
      </c>
      <c r="K31" s="16" t="n">
        <v>13.3759</v>
      </c>
    </row>
    <row r="32">
      <c r="A32" s="14" t="inlineStr">
        <is>
          <t>Veg Thukpa</t>
        </is>
      </c>
      <c r="B32" s="14" t="n">
        <v>2</v>
      </c>
      <c r="C32" s="14" t="n">
        <v>47</v>
      </c>
      <c r="D32" s="15" t="n">
        <v>0.6</v>
      </c>
      <c r="E32" s="16" t="n">
        <v>2.1</v>
      </c>
      <c r="F32" s="16" t="n">
        <v>2.0556</v>
      </c>
      <c r="G32" s="15" t="n">
        <v>0.6074000000000001</v>
      </c>
      <c r="H32" s="15" t="n">
        <v>8</v>
      </c>
      <c r="I32" s="16" t="n">
        <v>13.5</v>
      </c>
      <c r="J32" s="15" t="n">
        <v>8.488099999999999</v>
      </c>
      <c r="K32" s="16" t="n">
        <v>13.3338</v>
      </c>
    </row>
    <row r="33">
      <c r="A33" s="14" t="inlineStr">
        <is>
          <t>Veg Thukpa</t>
        </is>
      </c>
      <c r="B33" s="14" t="n">
        <v>3</v>
      </c>
      <c r="C33" s="14" t="n">
        <v>41</v>
      </c>
      <c r="D33" s="15" t="n">
        <v>0.6</v>
      </c>
      <c r="E33" s="16" t="n">
        <v>2.1</v>
      </c>
      <c r="F33" s="16" t="n">
        <v>2.0732</v>
      </c>
      <c r="G33" s="15" t="n">
        <v>0.5931999999999999</v>
      </c>
      <c r="H33" s="15" t="n">
        <v>8</v>
      </c>
      <c r="I33" s="16" t="n">
        <v>13.5</v>
      </c>
      <c r="J33" s="15" t="n">
        <v>8.110799999999999</v>
      </c>
      <c r="K33" s="16" t="n">
        <v>13.5351</v>
      </c>
    </row>
    <row r="34">
      <c r="A34" s="14" t="inlineStr">
        <is>
          <t>Veg Thukpa</t>
        </is>
      </c>
      <c r="B34" s="14" t="n">
        <v>4</v>
      </c>
      <c r="C34" s="14" t="n">
        <v>43</v>
      </c>
      <c r="D34" s="15" t="n">
        <v>0.6</v>
      </c>
      <c r="E34" s="16" t="n">
        <v>2.1</v>
      </c>
      <c r="F34" s="16" t="n">
        <v>2.0518</v>
      </c>
      <c r="G34" s="15" t="n">
        <v>0.5978</v>
      </c>
      <c r="H34" s="15" t="n">
        <v>8</v>
      </c>
      <c r="I34" s="16" t="n">
        <v>13.5</v>
      </c>
      <c r="J34" s="15" t="n">
        <v>8.3132</v>
      </c>
      <c r="K34" s="16" t="n">
        <v>13.5401</v>
      </c>
    </row>
    <row r="35">
      <c r="A35" s="14" t="inlineStr">
        <is>
          <t>Veg Thukpa</t>
        </is>
      </c>
      <c r="B35" s="14" t="n">
        <v>5</v>
      </c>
      <c r="C35" s="14" t="n">
        <v>41</v>
      </c>
      <c r="D35" s="15" t="n">
        <v>0.6</v>
      </c>
      <c r="E35" s="16" t="n">
        <v>2.1</v>
      </c>
      <c r="F35" s="16" t="n">
        <v>2.0651</v>
      </c>
      <c r="G35" s="15" t="n">
        <v>0.6066</v>
      </c>
      <c r="H35" s="15" t="n">
        <v>8</v>
      </c>
      <c r="I35" s="16" t="n">
        <v>13.5</v>
      </c>
      <c r="J35" s="15" t="n">
        <v>8.1394</v>
      </c>
      <c r="K35" s="16" t="n">
        <v>13.5396</v>
      </c>
    </row>
    <row r="36">
      <c r="A36" s="14" t="inlineStr">
        <is>
          <t>Veg Thukpa</t>
        </is>
      </c>
      <c r="B36" s="14" t="n">
        <v>6</v>
      </c>
      <c r="C36" s="14" t="n">
        <v>36</v>
      </c>
      <c r="D36" s="15" t="n">
        <v>0.6</v>
      </c>
      <c r="E36" s="16" t="n">
        <v>2.1</v>
      </c>
      <c r="F36" s="16" t="n">
        <v>2.0779</v>
      </c>
      <c r="G36" s="15" t="n">
        <v>0.6216</v>
      </c>
      <c r="H36" s="15" t="n">
        <v>8</v>
      </c>
      <c r="I36" s="16" t="n">
        <v>13.5</v>
      </c>
      <c r="J36" s="15" t="n">
        <v>7.2852</v>
      </c>
      <c r="K36" s="16" t="n">
        <v>13.5886</v>
      </c>
    </row>
    <row r="37">
      <c r="A37" s="14" t="inlineStr">
        <is>
          <t>Veg Thukpa</t>
        </is>
      </c>
      <c r="B37" s="14" t="n">
        <v>7</v>
      </c>
      <c r="C37" s="14" t="n">
        <v>35</v>
      </c>
      <c r="D37" s="15" t="n">
        <v>0.6</v>
      </c>
      <c r="E37" s="16" t="n">
        <v>2.1</v>
      </c>
      <c r="F37" s="16" t="n">
        <v>2.0688</v>
      </c>
      <c r="G37" s="15" t="n">
        <v>0.631</v>
      </c>
      <c r="H37" s="15" t="n">
        <v>8</v>
      </c>
      <c r="I37" s="16" t="n">
        <v>13.5</v>
      </c>
      <c r="J37" s="15" t="n">
        <v>7.5076</v>
      </c>
      <c r="K37" s="16" t="n">
        <v>13.6301</v>
      </c>
    </row>
    <row r="38">
      <c r="A38" s="14" t="inlineStr">
        <is>
          <t>Veg Thukpa</t>
        </is>
      </c>
      <c r="B38" s="14" t="n">
        <v>8</v>
      </c>
      <c r="C38" s="14" t="n">
        <v>41</v>
      </c>
      <c r="D38" s="15" t="n">
        <v>0.6</v>
      </c>
      <c r="E38" s="16" t="n">
        <v>2.1</v>
      </c>
      <c r="F38" s="16" t="n">
        <v>2.0691</v>
      </c>
      <c r="G38" s="15" t="n">
        <v>0.641</v>
      </c>
      <c r="H38" s="15" t="n">
        <v>8</v>
      </c>
      <c r="I38" s="16" t="n">
        <v>13.5</v>
      </c>
      <c r="J38" s="15" t="n">
        <v>7.8528</v>
      </c>
      <c r="K38" s="16" t="n">
        <v>13.3982</v>
      </c>
    </row>
    <row r="39">
      <c r="A39" s="14" t="inlineStr">
        <is>
          <t>Veg Thukpa</t>
        </is>
      </c>
      <c r="B39" s="14" t="n">
        <v>9</v>
      </c>
      <c r="C39" s="14" t="n">
        <v>35</v>
      </c>
      <c r="D39" s="15" t="n">
        <v>0.6</v>
      </c>
      <c r="E39" s="16" t="n">
        <v>2.1</v>
      </c>
      <c r="F39" s="16" t="n">
        <v>2.0553</v>
      </c>
      <c r="G39" s="15" t="n">
        <v>0.6185</v>
      </c>
      <c r="H39" s="15" t="n">
        <v>8</v>
      </c>
      <c r="I39" s="16" t="n">
        <v>13.5</v>
      </c>
      <c r="J39" s="15" t="n">
        <v>8.204700000000001</v>
      </c>
      <c r="K39" s="16" t="n">
        <v>13.5374</v>
      </c>
    </row>
    <row r="40">
      <c r="A40" s="14" t="inlineStr">
        <is>
          <t>Veg Thukpa</t>
        </is>
      </c>
      <c r="B40" s="14" t="n">
        <v>10</v>
      </c>
      <c r="C40" s="14" t="n">
        <v>43</v>
      </c>
      <c r="D40" s="15" t="n">
        <v>0.6</v>
      </c>
      <c r="E40" s="16" t="n">
        <v>2.1</v>
      </c>
      <c r="F40" s="16" t="n">
        <v>2.0623</v>
      </c>
      <c r="G40" s="15" t="n">
        <v>0.638</v>
      </c>
      <c r="H40" s="15" t="n">
        <v>8</v>
      </c>
      <c r="I40" s="16" t="n">
        <v>13.5</v>
      </c>
      <c r="J40" s="15" t="n">
        <v>7.8412</v>
      </c>
      <c r="K40" s="16" t="n">
        <v>13.8672</v>
      </c>
    </row>
    <row r="41">
      <c r="A41" s="14" t="inlineStr">
        <is>
          <t>Veg Thukpa</t>
        </is>
      </c>
      <c r="B41" s="14" t="n">
        <v>11</v>
      </c>
      <c r="C41" s="14" t="n">
        <v>43</v>
      </c>
      <c r="D41" s="15" t="n">
        <v>0.6</v>
      </c>
      <c r="E41" s="16" t="n">
        <v>2.1</v>
      </c>
      <c r="F41" s="16" t="n">
        <v>2.055</v>
      </c>
      <c r="G41" s="15" t="n">
        <v>0.6088</v>
      </c>
      <c r="H41" s="15" t="n">
        <v>8</v>
      </c>
      <c r="I41" s="16" t="n">
        <v>13.5</v>
      </c>
      <c r="J41" s="15" t="n">
        <v>8.2895</v>
      </c>
      <c r="K41" s="16" t="n">
        <v>13.4698</v>
      </c>
    </row>
    <row r="42">
      <c r="A42" s="14" t="inlineStr">
        <is>
          <t>Veg Thukpa</t>
        </is>
      </c>
      <c r="B42" s="14" t="n">
        <v>12</v>
      </c>
      <c r="C42" s="14" t="n">
        <v>43</v>
      </c>
      <c r="D42" s="15" t="n">
        <v>0.6</v>
      </c>
      <c r="E42" s="16" t="n">
        <v>2.1</v>
      </c>
      <c r="F42" s="16" t="n">
        <v>2.0662</v>
      </c>
      <c r="G42" s="15" t="n">
        <v>0.622</v>
      </c>
      <c r="H42" s="15" t="n">
        <v>8</v>
      </c>
      <c r="I42" s="16" t="n">
        <v>13.5</v>
      </c>
      <c r="J42" s="15" t="n">
        <v>7.4919</v>
      </c>
      <c r="K42" s="16" t="n">
        <v>13.2955</v>
      </c>
    </row>
    <row r="43">
      <c r="A43" s="14" t="inlineStr">
        <is>
          <t>Veg Thukpa</t>
        </is>
      </c>
      <c r="B43" s="14" t="n">
        <v>13</v>
      </c>
      <c r="C43" s="14" t="n">
        <v>37</v>
      </c>
      <c r="D43" s="15" t="n">
        <v>0.6</v>
      </c>
      <c r="E43" s="16" t="n">
        <v>2.1</v>
      </c>
      <c r="F43" s="16" t="n">
        <v>2.0694</v>
      </c>
      <c r="G43" s="15" t="n">
        <v>0.6266</v>
      </c>
      <c r="H43" s="15" t="n">
        <v>8</v>
      </c>
      <c r="I43" s="16" t="n">
        <v>13.5</v>
      </c>
      <c r="J43" s="15" t="n">
        <v>7.2526</v>
      </c>
      <c r="K43" s="16" t="n">
        <v>13.5234</v>
      </c>
    </row>
    <row r="44">
      <c r="A44" s="14" t="inlineStr">
        <is>
          <t>Veg Thukpa</t>
        </is>
      </c>
      <c r="B44" s="14" t="n">
        <v>14</v>
      </c>
      <c r="C44" s="14" t="n">
        <v>41</v>
      </c>
      <c r="D44" s="15" t="n">
        <v>0.6</v>
      </c>
      <c r="E44" s="16" t="n">
        <v>2.1</v>
      </c>
      <c r="F44" s="16" t="n">
        <v>2.0548</v>
      </c>
      <c r="G44" s="15" t="n">
        <v>0.627</v>
      </c>
      <c r="H44" s="15" t="n">
        <v>8</v>
      </c>
      <c r="I44" s="16" t="n">
        <v>13.5</v>
      </c>
      <c r="J44" s="15" t="n">
        <v>8.0349</v>
      </c>
      <c r="K44" s="16" t="n">
        <v>13.3457</v>
      </c>
    </row>
    <row r="45">
      <c r="A45" s="14" t="inlineStr">
        <is>
          <t>Veg Thukpa</t>
        </is>
      </c>
      <c r="B45" s="14" t="n">
        <v>15</v>
      </c>
      <c r="C45" s="14" t="n">
        <v>41</v>
      </c>
      <c r="D45" s="15" t="n">
        <v>0.6</v>
      </c>
      <c r="E45" s="16" t="n">
        <v>2.1</v>
      </c>
      <c r="F45" s="16" t="n">
        <v>2.0669</v>
      </c>
      <c r="G45" s="15" t="n">
        <v>0.6393</v>
      </c>
      <c r="H45" s="15" t="n">
        <v>8</v>
      </c>
      <c r="I45" s="16" t="n">
        <v>13.5</v>
      </c>
      <c r="J45" s="15" t="n">
        <v>8.632300000000001</v>
      </c>
      <c r="K45" s="16" t="n">
        <v>13.314</v>
      </c>
    </row>
    <row r="46">
      <c r="A46" s="14" t="inlineStr">
        <is>
          <t>Veg Thukpa</t>
        </is>
      </c>
      <c r="B46" s="14" t="n">
        <v>16</v>
      </c>
      <c r="C46" s="14" t="n">
        <v>35</v>
      </c>
      <c r="D46" s="15" t="n">
        <v>0.6</v>
      </c>
      <c r="E46" s="16" t="n">
        <v>2.1</v>
      </c>
      <c r="F46" s="16" t="n">
        <v>2.0665</v>
      </c>
      <c r="G46" s="15" t="n">
        <v>0.6336000000000001</v>
      </c>
      <c r="H46" s="15" t="n">
        <v>8</v>
      </c>
      <c r="I46" s="16" t="n">
        <v>13.5</v>
      </c>
      <c r="J46" s="15" t="n">
        <v>8.308999999999999</v>
      </c>
      <c r="K46" s="16" t="n">
        <v>14.0201</v>
      </c>
    </row>
    <row r="47">
      <c r="A47" s="14" t="inlineStr">
        <is>
          <t>Veg Thukpa</t>
        </is>
      </c>
      <c r="B47" s="14" t="n">
        <v>17</v>
      </c>
      <c r="C47" s="14" t="n">
        <v>42</v>
      </c>
      <c r="D47" s="15" t="n">
        <v>0.6</v>
      </c>
      <c r="E47" s="16" t="n">
        <v>2.1</v>
      </c>
      <c r="F47" s="16" t="n">
        <v>2.0717</v>
      </c>
      <c r="G47" s="15" t="n">
        <v>0.6401</v>
      </c>
      <c r="H47" s="15" t="n">
        <v>8</v>
      </c>
      <c r="I47" s="16" t="n">
        <v>13.5</v>
      </c>
      <c r="J47" s="15" t="n">
        <v>8.3908</v>
      </c>
      <c r="K47" s="16" t="n">
        <v>13.4574</v>
      </c>
    </row>
    <row r="48">
      <c r="A48" s="14" t="inlineStr">
        <is>
          <t>Veg Thukpa</t>
        </is>
      </c>
      <c r="B48" s="14" t="n">
        <v>18</v>
      </c>
      <c r="C48" s="14" t="n">
        <v>43</v>
      </c>
      <c r="D48" s="15" t="n">
        <v>0.6</v>
      </c>
      <c r="E48" s="16" t="n">
        <v>2.1</v>
      </c>
      <c r="F48" s="16" t="n">
        <v>2.0557</v>
      </c>
      <c r="G48" s="15" t="n">
        <v>0.6269</v>
      </c>
      <c r="H48" s="15" t="n">
        <v>8</v>
      </c>
      <c r="I48" s="16" t="n">
        <v>13.5</v>
      </c>
      <c r="J48" s="15" t="n">
        <v>7.7088</v>
      </c>
      <c r="K48" s="16" t="n">
        <v>13.5111</v>
      </c>
    </row>
    <row r="49">
      <c r="A49" s="14" t="inlineStr">
        <is>
          <t>Veg Thukpa</t>
        </is>
      </c>
      <c r="B49" s="14" t="n">
        <v>19</v>
      </c>
      <c r="C49" s="14" t="n">
        <v>51</v>
      </c>
      <c r="D49" s="15" t="n">
        <v>0.6</v>
      </c>
      <c r="E49" s="16" t="n">
        <v>2.1</v>
      </c>
      <c r="F49" s="16" t="n">
        <v>2.0465</v>
      </c>
      <c r="G49" s="15" t="n">
        <v>0.6392</v>
      </c>
      <c r="H49" s="15" t="n">
        <v>8</v>
      </c>
      <c r="I49" s="16" t="n">
        <v>13.5</v>
      </c>
      <c r="J49" s="15" t="n">
        <v>7.0324</v>
      </c>
      <c r="K49" s="16" t="n">
        <v>13.4363</v>
      </c>
    </row>
    <row r="50">
      <c r="A50" s="14" t="inlineStr">
        <is>
          <t>Veg Thukpa</t>
        </is>
      </c>
      <c r="B50" s="14" t="n">
        <v>20</v>
      </c>
      <c r="C50" s="14" t="n">
        <v>45</v>
      </c>
      <c r="D50" s="15" t="n">
        <v>0.6</v>
      </c>
      <c r="E50" s="16" t="n">
        <v>2.1</v>
      </c>
      <c r="F50" s="16" t="n">
        <v>2.0627</v>
      </c>
      <c r="G50" s="15" t="n">
        <v>0.6191</v>
      </c>
      <c r="H50" s="15" t="n">
        <v>8</v>
      </c>
      <c r="I50" s="16" t="n">
        <v>13.5</v>
      </c>
      <c r="J50" s="15" t="n">
        <v>7.5708</v>
      </c>
      <c r="K50" s="16" t="n">
        <v>13.5917</v>
      </c>
    </row>
    <row r="51">
      <c r="A51" s="14" t="inlineStr">
        <is>
          <t>Veg Thukpa</t>
        </is>
      </c>
      <c r="B51" s="14" t="n">
        <v>21</v>
      </c>
      <c r="C51" s="14" t="n">
        <v>36</v>
      </c>
      <c r="D51" s="15" t="n">
        <v>0.6</v>
      </c>
      <c r="E51" s="16" t="n">
        <v>2.1</v>
      </c>
      <c r="F51" s="16" t="n">
        <v>2.064</v>
      </c>
      <c r="G51" s="15" t="n">
        <v>0.6338</v>
      </c>
      <c r="H51" s="15" t="n">
        <v>8</v>
      </c>
      <c r="I51" s="16" t="n">
        <v>13.5</v>
      </c>
      <c r="J51" s="15" t="n">
        <v>7.609</v>
      </c>
      <c r="K51" s="16" t="n">
        <v>13.7894</v>
      </c>
    </row>
    <row r="52">
      <c r="A52" s="14" t="inlineStr">
        <is>
          <t>Veg Thukpa</t>
        </is>
      </c>
      <c r="B52" s="14" t="n">
        <v>22</v>
      </c>
      <c r="C52" s="14" t="n">
        <v>43</v>
      </c>
      <c r="D52" s="15" t="n">
        <v>0.6</v>
      </c>
      <c r="E52" s="16" t="n">
        <v>2.1</v>
      </c>
      <c r="F52" s="16" t="n">
        <v>2.0452</v>
      </c>
      <c r="G52" s="15" t="n">
        <v>0.6366000000000001</v>
      </c>
      <c r="H52" s="15" t="n">
        <v>8</v>
      </c>
      <c r="I52" s="16" t="n">
        <v>13.5</v>
      </c>
      <c r="J52" s="15" t="n">
        <v>7.6029</v>
      </c>
      <c r="K52" s="16" t="n">
        <v>13.6151</v>
      </c>
    </row>
    <row r="53">
      <c r="A53" s="14" t="inlineStr">
        <is>
          <t>Veg Thukpa</t>
        </is>
      </c>
      <c r="B53" s="14" t="n">
        <v>23</v>
      </c>
      <c r="C53" s="14" t="n">
        <v>36</v>
      </c>
      <c r="D53" s="15" t="n">
        <v>0.6</v>
      </c>
      <c r="E53" s="16" t="n">
        <v>2.1</v>
      </c>
      <c r="F53" s="16" t="n">
        <v>2.0612</v>
      </c>
      <c r="G53" s="15" t="n">
        <v>0.6415999999999999</v>
      </c>
      <c r="H53" s="15" t="n">
        <v>8</v>
      </c>
      <c r="I53" s="16" t="n">
        <v>13.5</v>
      </c>
      <c r="J53" s="15" t="n">
        <v>8.519500000000001</v>
      </c>
      <c r="K53" s="16" t="n">
        <v>13.338</v>
      </c>
    </row>
    <row r="54">
      <c r="A54" s="14" t="inlineStr">
        <is>
          <t>Veg Thukpa</t>
        </is>
      </c>
      <c r="B54" s="14" t="n">
        <v>24</v>
      </c>
      <c r="C54" s="14" t="n">
        <v>38</v>
      </c>
      <c r="D54" s="15" t="n">
        <v>0.6</v>
      </c>
      <c r="E54" s="16" t="n">
        <v>2.1</v>
      </c>
      <c r="F54" s="16" t="n">
        <v>2.0582</v>
      </c>
      <c r="G54" s="15" t="n">
        <v>0.6289</v>
      </c>
      <c r="H54" s="15" t="n">
        <v>8</v>
      </c>
      <c r="I54" s="16" t="n">
        <v>13.5</v>
      </c>
      <c r="J54" s="15" t="n">
        <v>9.0593</v>
      </c>
      <c r="K54" s="16" t="n">
        <v>13.5547</v>
      </c>
    </row>
    <row r="55">
      <c r="A55" s="14" t="inlineStr">
        <is>
          <t>Veg Thukpa</t>
        </is>
      </c>
      <c r="B55" s="14" t="n">
        <v>25</v>
      </c>
      <c r="C55" s="14" t="n">
        <v>33</v>
      </c>
      <c r="D55" s="15" t="n">
        <v>0.6</v>
      </c>
      <c r="E55" s="16" t="n">
        <v>2.1</v>
      </c>
      <c r="F55" s="16" t="n">
        <v>2.0699</v>
      </c>
      <c r="G55" s="15" t="n">
        <v>0.6633</v>
      </c>
      <c r="H55" s="15" t="n">
        <v>8</v>
      </c>
      <c r="I55" s="16" t="n">
        <v>13.5</v>
      </c>
      <c r="J55" s="15" t="n">
        <v>8.6195</v>
      </c>
      <c r="K55" s="16" t="n">
        <v>13.2949</v>
      </c>
    </row>
    <row r="56">
      <c r="A56" s="14" t="inlineStr">
        <is>
          <t>Veg Thukpa</t>
        </is>
      </c>
      <c r="B56" s="14" t="n">
        <v>26</v>
      </c>
      <c r="C56" s="14" t="n">
        <v>37</v>
      </c>
      <c r="D56" s="15" t="n">
        <v>0.6</v>
      </c>
      <c r="E56" s="16" t="n">
        <v>2.1</v>
      </c>
      <c r="F56" s="16" t="n">
        <v>2.0728</v>
      </c>
      <c r="G56" s="15" t="n">
        <v>0.6304999999999999</v>
      </c>
      <c r="H56" s="15" t="n">
        <v>8</v>
      </c>
      <c r="I56" s="16" t="n">
        <v>13.5</v>
      </c>
      <c r="J56" s="15" t="n">
        <v>8.266299999999999</v>
      </c>
      <c r="K56" s="16" t="n">
        <v>13.6046</v>
      </c>
    </row>
    <row r="57">
      <c r="A57" s="14" t="inlineStr">
        <is>
          <t>Chow Mein (Chicken)</t>
        </is>
      </c>
      <c r="B57" s="14" t="n">
        <v>1</v>
      </c>
      <c r="C57" s="14" t="n">
        <v>48</v>
      </c>
      <c r="D57" s="15" t="n">
        <v>0.5</v>
      </c>
      <c r="E57" s="16" t="n">
        <v>3.2</v>
      </c>
      <c r="F57" s="16" t="n">
        <v>3.1416</v>
      </c>
      <c r="G57" s="15" t="n">
        <v>0.476</v>
      </c>
      <c r="H57" s="15" t="n">
        <v>7</v>
      </c>
      <c r="I57" s="16" t="n">
        <v>13.5</v>
      </c>
      <c r="J57" s="15" t="n">
        <v>6.3854</v>
      </c>
      <c r="K57" s="16" t="n">
        <v>13.4659</v>
      </c>
    </row>
    <row r="58">
      <c r="A58" s="14" t="inlineStr">
        <is>
          <t>Chow Mein (Chicken)</t>
        </is>
      </c>
      <c r="B58" s="14" t="n">
        <v>2</v>
      </c>
      <c r="C58" s="14" t="n">
        <v>46</v>
      </c>
      <c r="D58" s="15" t="n">
        <v>0.5</v>
      </c>
      <c r="E58" s="16" t="n">
        <v>3.2</v>
      </c>
      <c r="F58" s="16" t="n">
        <v>3.1633</v>
      </c>
      <c r="G58" s="15" t="n">
        <v>0.4951</v>
      </c>
      <c r="H58" s="15" t="n">
        <v>7</v>
      </c>
      <c r="I58" s="16" t="n">
        <v>13.5</v>
      </c>
      <c r="J58" s="15" t="n">
        <v>6.736</v>
      </c>
      <c r="K58" s="16" t="n">
        <v>13.5176</v>
      </c>
    </row>
    <row r="59">
      <c r="A59" s="14" t="inlineStr">
        <is>
          <t>Chow Mein (Chicken)</t>
        </is>
      </c>
      <c r="B59" s="14" t="n">
        <v>3</v>
      </c>
      <c r="C59" s="14" t="n">
        <v>64</v>
      </c>
      <c r="D59" s="15" t="n">
        <v>0.5</v>
      </c>
      <c r="E59" s="16" t="n">
        <v>3.2</v>
      </c>
      <c r="F59" s="16" t="n">
        <v>3.124</v>
      </c>
      <c r="G59" s="15" t="n">
        <v>0.522</v>
      </c>
      <c r="H59" s="15" t="n">
        <v>7</v>
      </c>
      <c r="I59" s="16" t="n">
        <v>13.5</v>
      </c>
      <c r="J59" s="15" t="n">
        <v>7.0061</v>
      </c>
      <c r="K59" s="16" t="n">
        <v>13.3675</v>
      </c>
    </row>
    <row r="60">
      <c r="A60" s="14" t="inlineStr">
        <is>
          <t>Chow Mein (Chicken)</t>
        </is>
      </c>
      <c r="B60" s="14" t="n">
        <v>4</v>
      </c>
      <c r="C60" s="14" t="n">
        <v>58</v>
      </c>
      <c r="D60" s="15" t="n">
        <v>0.5</v>
      </c>
      <c r="E60" s="16" t="n">
        <v>3.2</v>
      </c>
      <c r="F60" s="16" t="n">
        <v>3.1449</v>
      </c>
      <c r="G60" s="15" t="n">
        <v>0.5053</v>
      </c>
      <c r="H60" s="15" t="n">
        <v>7</v>
      </c>
      <c r="I60" s="16" t="n">
        <v>13.5</v>
      </c>
      <c r="J60" s="15" t="n">
        <v>7.0419</v>
      </c>
      <c r="K60" s="16" t="n">
        <v>13.448</v>
      </c>
    </row>
    <row r="61">
      <c r="A61" s="14" t="inlineStr">
        <is>
          <t>Chow Mein (Chicken)</t>
        </is>
      </c>
      <c r="B61" s="14" t="n">
        <v>5</v>
      </c>
      <c r="C61" s="14" t="n">
        <v>55</v>
      </c>
      <c r="D61" s="15" t="n">
        <v>0.5</v>
      </c>
      <c r="E61" s="16" t="n">
        <v>3.2</v>
      </c>
      <c r="F61" s="16" t="n">
        <v>3.1509</v>
      </c>
      <c r="G61" s="15" t="n">
        <v>0.5282</v>
      </c>
      <c r="H61" s="15" t="n">
        <v>7</v>
      </c>
      <c r="I61" s="16" t="n">
        <v>13.5</v>
      </c>
      <c r="J61" s="15" t="n">
        <v>6.2573</v>
      </c>
      <c r="K61" s="16" t="n">
        <v>13.788</v>
      </c>
    </row>
    <row r="62">
      <c r="A62" s="14" t="inlineStr">
        <is>
          <t>Chow Mein (Chicken)</t>
        </is>
      </c>
      <c r="B62" s="14" t="n">
        <v>6</v>
      </c>
      <c r="C62" s="14" t="n">
        <v>42</v>
      </c>
      <c r="D62" s="15" t="n">
        <v>0.5</v>
      </c>
      <c r="E62" s="16" t="n">
        <v>3.2</v>
      </c>
      <c r="F62" s="16" t="n">
        <v>3.1405</v>
      </c>
      <c r="G62" s="15" t="n">
        <v>0.5192</v>
      </c>
      <c r="H62" s="15" t="n">
        <v>7</v>
      </c>
      <c r="I62" s="16" t="n">
        <v>13.5</v>
      </c>
      <c r="J62" s="15" t="n">
        <v>7.1686</v>
      </c>
      <c r="K62" s="16" t="n">
        <v>13.4159</v>
      </c>
    </row>
    <row r="63">
      <c r="A63" s="14" t="inlineStr">
        <is>
          <t>Chow Mein (Chicken)</t>
        </is>
      </c>
      <c r="B63" s="14" t="n">
        <v>7</v>
      </c>
      <c r="C63" s="14" t="n">
        <v>53</v>
      </c>
      <c r="D63" s="15" t="n">
        <v>0.5</v>
      </c>
      <c r="E63" s="16" t="n">
        <v>3.2</v>
      </c>
      <c r="F63" s="16" t="n">
        <v>3.1361</v>
      </c>
      <c r="G63" s="15" t="n">
        <v>0.5083</v>
      </c>
      <c r="H63" s="15" t="n">
        <v>7</v>
      </c>
      <c r="I63" s="16" t="n">
        <v>13.5</v>
      </c>
      <c r="J63" s="15" t="n">
        <v>7.5098</v>
      </c>
      <c r="K63" s="16" t="n">
        <v>13.5482</v>
      </c>
    </row>
    <row r="64">
      <c r="A64" s="14" t="inlineStr">
        <is>
          <t>Chow Mein (Chicken)</t>
        </is>
      </c>
      <c r="B64" s="14" t="n">
        <v>8</v>
      </c>
      <c r="C64" s="14" t="n">
        <v>50</v>
      </c>
      <c r="D64" s="15" t="n">
        <v>0.5</v>
      </c>
      <c r="E64" s="16" t="n">
        <v>3.2</v>
      </c>
      <c r="F64" s="16" t="n">
        <v>3.1539</v>
      </c>
      <c r="G64" s="15" t="n">
        <v>0.5183</v>
      </c>
      <c r="H64" s="15" t="n">
        <v>7</v>
      </c>
      <c r="I64" s="16" t="n">
        <v>13.5</v>
      </c>
      <c r="J64" s="15" t="n">
        <v>7.4877</v>
      </c>
      <c r="K64" s="16" t="n">
        <v>13.585</v>
      </c>
    </row>
    <row r="65">
      <c r="A65" s="14" t="inlineStr">
        <is>
          <t>Chow Mein (Chicken)</t>
        </is>
      </c>
      <c r="B65" s="14" t="n">
        <v>9</v>
      </c>
      <c r="C65" s="14" t="n">
        <v>49</v>
      </c>
      <c r="D65" s="15" t="n">
        <v>0.5</v>
      </c>
      <c r="E65" s="16" t="n">
        <v>3.2</v>
      </c>
      <c r="F65" s="16" t="n">
        <v>3.1352</v>
      </c>
      <c r="G65" s="15" t="n">
        <v>0.5236</v>
      </c>
      <c r="H65" s="15" t="n">
        <v>7</v>
      </c>
      <c r="I65" s="16" t="n">
        <v>13.5</v>
      </c>
      <c r="J65" s="15" t="n">
        <v>7.3662</v>
      </c>
      <c r="K65" s="16" t="n">
        <v>13.4972</v>
      </c>
    </row>
    <row r="66">
      <c r="A66" s="14" t="inlineStr">
        <is>
          <t>Chow Mein (Chicken)</t>
        </is>
      </c>
      <c r="B66" s="14" t="n">
        <v>10</v>
      </c>
      <c r="C66" s="14" t="n">
        <v>55</v>
      </c>
      <c r="D66" s="15" t="n">
        <v>0.5</v>
      </c>
      <c r="E66" s="16" t="n">
        <v>3.2</v>
      </c>
      <c r="F66" s="16" t="n">
        <v>3.1588</v>
      </c>
      <c r="G66" s="15" t="n">
        <v>0.5112</v>
      </c>
      <c r="H66" s="15" t="n">
        <v>7</v>
      </c>
      <c r="I66" s="16" t="n">
        <v>13.5</v>
      </c>
      <c r="J66" s="15" t="n">
        <v>7.3283</v>
      </c>
      <c r="K66" s="16" t="n">
        <v>13.4727</v>
      </c>
    </row>
    <row r="67">
      <c r="A67" s="14" t="inlineStr">
        <is>
          <t>Chow Mein (Chicken)</t>
        </is>
      </c>
      <c r="B67" s="14" t="n">
        <v>11</v>
      </c>
      <c r="C67" s="14" t="n">
        <v>53</v>
      </c>
      <c r="D67" s="15" t="n">
        <v>0.5</v>
      </c>
      <c r="E67" s="16" t="n">
        <v>3.2</v>
      </c>
      <c r="F67" s="16" t="n">
        <v>3.1565</v>
      </c>
      <c r="G67" s="15" t="n">
        <v>0.5263</v>
      </c>
      <c r="H67" s="15" t="n">
        <v>7</v>
      </c>
      <c r="I67" s="16" t="n">
        <v>13.5</v>
      </c>
      <c r="J67" s="15" t="n">
        <v>7.4881</v>
      </c>
      <c r="K67" s="16" t="n">
        <v>13.6762</v>
      </c>
    </row>
    <row r="68">
      <c r="A68" s="14" t="inlineStr">
        <is>
          <t>Chow Mein (Chicken)</t>
        </is>
      </c>
      <c r="B68" s="14" t="n">
        <v>12</v>
      </c>
      <c r="C68" s="14" t="n">
        <v>55</v>
      </c>
      <c r="D68" s="15" t="n">
        <v>0.5</v>
      </c>
      <c r="E68" s="16" t="n">
        <v>3.2</v>
      </c>
      <c r="F68" s="16" t="n">
        <v>3.1511</v>
      </c>
      <c r="G68" s="15" t="n">
        <v>0.5159</v>
      </c>
      <c r="H68" s="15" t="n">
        <v>7</v>
      </c>
      <c r="I68" s="16" t="n">
        <v>13.5</v>
      </c>
      <c r="J68" s="15" t="n">
        <v>7.1945</v>
      </c>
      <c r="K68" s="16" t="n">
        <v>13.4824</v>
      </c>
    </row>
    <row r="69">
      <c r="A69" s="14" t="inlineStr">
        <is>
          <t>Chow Mein (Chicken)</t>
        </is>
      </c>
      <c r="B69" s="14" t="n">
        <v>13</v>
      </c>
      <c r="C69" s="14" t="n">
        <v>55</v>
      </c>
      <c r="D69" s="15" t="n">
        <v>0.5</v>
      </c>
      <c r="E69" s="16" t="n">
        <v>3.2</v>
      </c>
      <c r="F69" s="16" t="n">
        <v>3.15</v>
      </c>
      <c r="G69" s="15" t="n">
        <v>0.5118</v>
      </c>
      <c r="H69" s="15" t="n">
        <v>7</v>
      </c>
      <c r="I69" s="16" t="n">
        <v>13.5</v>
      </c>
      <c r="J69" s="15" t="n">
        <v>8.2554</v>
      </c>
      <c r="K69" s="16" t="n">
        <v>13.3642</v>
      </c>
    </row>
    <row r="70">
      <c r="A70" s="14" t="inlineStr">
        <is>
          <t>Chow Mein (Chicken)</t>
        </is>
      </c>
      <c r="B70" s="14" t="n">
        <v>14</v>
      </c>
      <c r="C70" s="14" t="n">
        <v>46</v>
      </c>
      <c r="D70" s="15" t="n">
        <v>0.5</v>
      </c>
      <c r="E70" s="16" t="n">
        <v>3.2</v>
      </c>
      <c r="F70" s="16" t="n">
        <v>3.1572</v>
      </c>
      <c r="G70" s="15" t="n">
        <v>0.5289</v>
      </c>
      <c r="H70" s="15" t="n">
        <v>7</v>
      </c>
      <c r="I70" s="16" t="n">
        <v>13.5</v>
      </c>
      <c r="J70" s="15" t="n">
        <v>7.3745</v>
      </c>
      <c r="K70" s="16" t="n">
        <v>13.5848</v>
      </c>
    </row>
    <row r="71">
      <c r="A71" s="14" t="inlineStr">
        <is>
          <t>Chow Mein (Chicken)</t>
        </is>
      </c>
      <c r="B71" s="14" t="n">
        <v>15</v>
      </c>
      <c r="C71" s="14" t="n">
        <v>54</v>
      </c>
      <c r="D71" s="15" t="n">
        <v>0.5</v>
      </c>
      <c r="E71" s="16" t="n">
        <v>3.2</v>
      </c>
      <c r="F71" s="16" t="n">
        <v>3.1309</v>
      </c>
      <c r="G71" s="15" t="n">
        <v>0.5227000000000001</v>
      </c>
      <c r="H71" s="15" t="n">
        <v>7</v>
      </c>
      <c r="I71" s="16" t="n">
        <v>13.5</v>
      </c>
      <c r="J71" s="15" t="n">
        <v>6.5937</v>
      </c>
      <c r="K71" s="16" t="n">
        <v>13.6316</v>
      </c>
    </row>
    <row r="72">
      <c r="A72" s="14" t="inlineStr">
        <is>
          <t>Chow Mein (Chicken)</t>
        </is>
      </c>
      <c r="B72" s="14" t="n">
        <v>16</v>
      </c>
      <c r="C72" s="14" t="n">
        <v>54</v>
      </c>
      <c r="D72" s="15" t="n">
        <v>0.5</v>
      </c>
      <c r="E72" s="16" t="n">
        <v>3.2</v>
      </c>
      <c r="F72" s="16" t="n">
        <v>3.1318</v>
      </c>
      <c r="G72" s="15" t="n">
        <v>0.5197000000000001</v>
      </c>
      <c r="H72" s="15" t="n">
        <v>7</v>
      </c>
      <c r="I72" s="16" t="n">
        <v>13.5</v>
      </c>
      <c r="J72" s="15" t="n">
        <v>7.2478</v>
      </c>
      <c r="K72" s="16" t="n">
        <v>13.4239</v>
      </c>
    </row>
    <row r="73">
      <c r="A73" s="14" t="inlineStr">
        <is>
          <t>Chow Mein (Chicken)</t>
        </is>
      </c>
      <c r="B73" s="14" t="n">
        <v>17</v>
      </c>
      <c r="C73" s="14" t="n">
        <v>49</v>
      </c>
      <c r="D73" s="15" t="n">
        <v>0.5</v>
      </c>
      <c r="E73" s="16" t="n">
        <v>3.2</v>
      </c>
      <c r="F73" s="16" t="n">
        <v>3.1455</v>
      </c>
      <c r="G73" s="15" t="n">
        <v>0.5263</v>
      </c>
      <c r="H73" s="15" t="n">
        <v>7</v>
      </c>
      <c r="I73" s="16" t="n">
        <v>13.5</v>
      </c>
      <c r="J73" s="15" t="n">
        <v>6.6958</v>
      </c>
      <c r="K73" s="16" t="n">
        <v>13.4364</v>
      </c>
    </row>
    <row r="74">
      <c r="A74" s="14" t="inlineStr">
        <is>
          <t>Chow Mein (Chicken)</t>
        </is>
      </c>
      <c r="B74" s="14" t="n">
        <v>18</v>
      </c>
      <c r="C74" s="14" t="n">
        <v>56</v>
      </c>
      <c r="D74" s="15" t="n">
        <v>0.5</v>
      </c>
      <c r="E74" s="16" t="n">
        <v>3.2</v>
      </c>
      <c r="F74" s="16" t="n">
        <v>3.1239</v>
      </c>
      <c r="G74" s="15" t="n">
        <v>0.5107</v>
      </c>
      <c r="H74" s="15" t="n">
        <v>7</v>
      </c>
      <c r="I74" s="16" t="n">
        <v>13.5</v>
      </c>
      <c r="J74" s="15" t="n">
        <v>6.5689</v>
      </c>
      <c r="K74" s="16" t="n">
        <v>13.4712</v>
      </c>
    </row>
    <row r="75">
      <c r="A75" s="14" t="inlineStr">
        <is>
          <t>Chow Mein (Chicken)</t>
        </is>
      </c>
      <c r="B75" s="14" t="n">
        <v>19</v>
      </c>
      <c r="C75" s="14" t="n">
        <v>57</v>
      </c>
      <c r="D75" s="15" t="n">
        <v>0.5</v>
      </c>
      <c r="E75" s="16" t="n">
        <v>3.2</v>
      </c>
      <c r="F75" s="16" t="n">
        <v>3.1613</v>
      </c>
      <c r="G75" s="15" t="n">
        <v>0.5343</v>
      </c>
      <c r="H75" s="15" t="n">
        <v>7</v>
      </c>
      <c r="I75" s="16" t="n">
        <v>13.5</v>
      </c>
      <c r="J75" s="15" t="n">
        <v>6.904</v>
      </c>
      <c r="K75" s="16" t="n">
        <v>13.4974</v>
      </c>
    </row>
    <row r="76">
      <c r="A76" s="14" t="inlineStr">
        <is>
          <t>Chow Mein (Chicken)</t>
        </is>
      </c>
      <c r="B76" s="14" t="n">
        <v>20</v>
      </c>
      <c r="C76" s="14" t="n">
        <v>48</v>
      </c>
      <c r="D76" s="15" t="n">
        <v>0.5</v>
      </c>
      <c r="E76" s="16" t="n">
        <v>3.2</v>
      </c>
      <c r="F76" s="16" t="n">
        <v>3.1422</v>
      </c>
      <c r="G76" s="15" t="n">
        <v>0.5238</v>
      </c>
      <c r="H76" s="15" t="n">
        <v>7</v>
      </c>
      <c r="I76" s="16" t="n">
        <v>13.5</v>
      </c>
      <c r="J76" s="15" t="n">
        <v>7.1936</v>
      </c>
      <c r="K76" s="16" t="n">
        <v>13.3883</v>
      </c>
    </row>
    <row r="77">
      <c r="A77" s="14" t="inlineStr">
        <is>
          <t>Chow Mein (Chicken)</t>
        </is>
      </c>
      <c r="B77" s="14" t="n">
        <v>21</v>
      </c>
      <c r="C77" s="14" t="n">
        <v>58</v>
      </c>
      <c r="D77" s="15" t="n">
        <v>0.5</v>
      </c>
      <c r="E77" s="16" t="n">
        <v>3.2</v>
      </c>
      <c r="F77" s="16" t="n">
        <v>3.162</v>
      </c>
      <c r="G77" s="15" t="n">
        <v>0.5266</v>
      </c>
      <c r="H77" s="15" t="n">
        <v>7</v>
      </c>
      <c r="I77" s="16" t="n">
        <v>13.5</v>
      </c>
      <c r="J77" s="15" t="n">
        <v>7.241</v>
      </c>
      <c r="K77" s="16" t="n">
        <v>13.5932</v>
      </c>
    </row>
    <row r="78">
      <c r="A78" s="14" t="inlineStr">
        <is>
          <t>Chow Mein (Chicken)</t>
        </is>
      </c>
      <c r="B78" s="14" t="n">
        <v>22</v>
      </c>
      <c r="C78" s="14" t="n">
        <v>52</v>
      </c>
      <c r="D78" s="15" t="n">
        <v>0.5</v>
      </c>
      <c r="E78" s="16" t="n">
        <v>3.2</v>
      </c>
      <c r="F78" s="16" t="n">
        <v>3.1453</v>
      </c>
      <c r="G78" s="15" t="n">
        <v>0.5288</v>
      </c>
      <c r="H78" s="15" t="n">
        <v>7</v>
      </c>
      <c r="I78" s="16" t="n">
        <v>13.5</v>
      </c>
      <c r="J78" s="15" t="n">
        <v>7.0586</v>
      </c>
      <c r="K78" s="16" t="n">
        <v>13.3956</v>
      </c>
    </row>
    <row r="79">
      <c r="A79" s="14" t="inlineStr">
        <is>
          <t>Chow Mein (Chicken)</t>
        </is>
      </c>
      <c r="B79" s="14" t="n">
        <v>23</v>
      </c>
      <c r="C79" s="14" t="n">
        <v>55</v>
      </c>
      <c r="D79" s="15" t="n">
        <v>0.5</v>
      </c>
      <c r="E79" s="16" t="n">
        <v>3.2</v>
      </c>
      <c r="F79" s="16" t="n">
        <v>3.1488</v>
      </c>
      <c r="G79" s="15" t="n">
        <v>0.5441</v>
      </c>
      <c r="H79" s="15" t="n">
        <v>7</v>
      </c>
      <c r="I79" s="16" t="n">
        <v>13.5</v>
      </c>
      <c r="J79" s="15" t="n">
        <v>7.5756</v>
      </c>
      <c r="K79" s="16" t="n">
        <v>13.7907</v>
      </c>
    </row>
    <row r="80">
      <c r="A80" s="14" t="inlineStr">
        <is>
          <t>Chow Mein (Chicken)</t>
        </is>
      </c>
      <c r="B80" s="14" t="n">
        <v>24</v>
      </c>
      <c r="C80" s="14" t="n">
        <v>49</v>
      </c>
      <c r="D80" s="15" t="n">
        <v>0.5</v>
      </c>
      <c r="E80" s="16" t="n">
        <v>3.2</v>
      </c>
      <c r="F80" s="16" t="n">
        <v>3.1536</v>
      </c>
      <c r="G80" s="15" t="n">
        <v>0.5324</v>
      </c>
      <c r="H80" s="15" t="n">
        <v>7</v>
      </c>
      <c r="I80" s="16" t="n">
        <v>13.5</v>
      </c>
      <c r="J80" s="15" t="n">
        <v>8.3139</v>
      </c>
      <c r="K80" s="16" t="n">
        <v>13.3909</v>
      </c>
    </row>
    <row r="81">
      <c r="A81" s="14" t="inlineStr">
        <is>
          <t>Chow Mein (Chicken)</t>
        </is>
      </c>
      <c r="B81" s="14" t="n">
        <v>25</v>
      </c>
      <c r="C81" s="14" t="n">
        <v>49</v>
      </c>
      <c r="D81" s="15" t="n">
        <v>0.5</v>
      </c>
      <c r="E81" s="16" t="n">
        <v>3.2</v>
      </c>
      <c r="F81" s="16" t="n">
        <v>3.1347</v>
      </c>
      <c r="G81" s="15" t="n">
        <v>0.5103</v>
      </c>
      <c r="H81" s="15" t="n">
        <v>7</v>
      </c>
      <c r="I81" s="16" t="n">
        <v>13.5</v>
      </c>
      <c r="J81" s="15" t="n">
        <v>6.6845</v>
      </c>
      <c r="K81" s="16" t="n">
        <v>13.3975</v>
      </c>
    </row>
    <row r="82">
      <c r="A82" s="14" t="inlineStr">
        <is>
          <t>Chow Mein (Chicken)</t>
        </is>
      </c>
      <c r="B82" s="14" t="n">
        <v>26</v>
      </c>
      <c r="C82" s="14" t="n">
        <v>55</v>
      </c>
      <c r="D82" s="15" t="n">
        <v>0.5</v>
      </c>
      <c r="E82" s="16" t="n">
        <v>3.2</v>
      </c>
      <c r="F82" s="16" t="n">
        <v>3.1468</v>
      </c>
      <c r="G82" s="15" t="n">
        <v>0.5513</v>
      </c>
      <c r="H82" s="15" t="n">
        <v>7</v>
      </c>
      <c r="I82" s="16" t="n">
        <v>13.5</v>
      </c>
      <c r="J82" s="15" t="n">
        <v>7.5703</v>
      </c>
      <c r="K82" s="16" t="n">
        <v>13.4221</v>
      </c>
    </row>
    <row r="83">
      <c r="A83" s="14" t="inlineStr">
        <is>
          <t>Lamb Sekuwa</t>
        </is>
      </c>
      <c r="B83" s="14" t="n">
        <v>1</v>
      </c>
      <c r="C83" s="14" t="n">
        <v>26</v>
      </c>
      <c r="D83" s="15" t="n">
        <v>0.45</v>
      </c>
      <c r="E83" s="16" t="n">
        <v>6.5</v>
      </c>
      <c r="F83" s="16" t="n">
        <v>6.3958</v>
      </c>
      <c r="G83" s="15" t="n">
        <v>0.4457</v>
      </c>
      <c r="H83" s="15" t="n">
        <v>10</v>
      </c>
      <c r="I83" s="16" t="n">
        <v>14.5</v>
      </c>
      <c r="J83" s="15" t="n">
        <v>11.0989</v>
      </c>
      <c r="K83" s="16" t="n">
        <v>14.671</v>
      </c>
    </row>
    <row r="84">
      <c r="A84" s="14" t="inlineStr">
        <is>
          <t>Lamb Sekuwa</t>
        </is>
      </c>
      <c r="B84" s="14" t="n">
        <v>2</v>
      </c>
      <c r="C84" s="14" t="n">
        <v>28</v>
      </c>
      <c r="D84" s="15" t="n">
        <v>0.45</v>
      </c>
      <c r="E84" s="16" t="n">
        <v>6.5</v>
      </c>
      <c r="F84" s="16" t="n">
        <v>6.3385</v>
      </c>
      <c r="G84" s="15" t="n">
        <v>0.4707</v>
      </c>
      <c r="H84" s="15" t="n">
        <v>10</v>
      </c>
      <c r="I84" s="16" t="n">
        <v>14.5</v>
      </c>
      <c r="J84" s="15" t="n">
        <v>9.9313</v>
      </c>
      <c r="K84" s="16" t="n">
        <v>14.6795</v>
      </c>
    </row>
    <row r="85">
      <c r="A85" s="14" t="inlineStr">
        <is>
          <t>Lamb Sekuwa</t>
        </is>
      </c>
      <c r="B85" s="14" t="n">
        <v>3</v>
      </c>
      <c r="C85" s="14" t="n">
        <v>24</v>
      </c>
      <c r="D85" s="15" t="n">
        <v>0.45</v>
      </c>
      <c r="E85" s="16" t="n">
        <v>6.5</v>
      </c>
      <c r="F85" s="16" t="n">
        <v>6.3674</v>
      </c>
      <c r="G85" s="15" t="n">
        <v>0.4594</v>
      </c>
      <c r="H85" s="15" t="n">
        <v>10</v>
      </c>
      <c r="I85" s="16" t="n">
        <v>14.5</v>
      </c>
      <c r="J85" s="15" t="n">
        <v>10.0282</v>
      </c>
      <c r="K85" s="16" t="n">
        <v>14.4347</v>
      </c>
    </row>
    <row r="86">
      <c r="A86" s="14" t="inlineStr">
        <is>
          <t>Lamb Sekuwa</t>
        </is>
      </c>
      <c r="B86" s="14" t="n">
        <v>4</v>
      </c>
      <c r="C86" s="14" t="n">
        <v>32</v>
      </c>
      <c r="D86" s="15" t="n">
        <v>0.45</v>
      </c>
      <c r="E86" s="16" t="n">
        <v>6.5</v>
      </c>
      <c r="F86" s="16" t="n">
        <v>6.3552</v>
      </c>
      <c r="G86" s="15" t="n">
        <v>0.4589</v>
      </c>
      <c r="H86" s="15" t="n">
        <v>10</v>
      </c>
      <c r="I86" s="16" t="n">
        <v>14.5</v>
      </c>
      <c r="J86" s="15" t="n">
        <v>10.0722</v>
      </c>
      <c r="K86" s="16" t="n">
        <v>14.5746</v>
      </c>
    </row>
    <row r="87">
      <c r="A87" s="14" t="inlineStr">
        <is>
          <t>Lamb Sekuwa</t>
        </is>
      </c>
      <c r="B87" s="14" t="n">
        <v>5</v>
      </c>
      <c r="C87" s="14" t="n">
        <v>32</v>
      </c>
      <c r="D87" s="15" t="n">
        <v>0.45</v>
      </c>
      <c r="E87" s="16" t="n">
        <v>6.5</v>
      </c>
      <c r="F87" s="16" t="n">
        <v>6.3538</v>
      </c>
      <c r="G87" s="15" t="n">
        <v>0.4473</v>
      </c>
      <c r="H87" s="15" t="n">
        <v>10</v>
      </c>
      <c r="I87" s="16" t="n">
        <v>14.5</v>
      </c>
      <c r="J87" s="15" t="n">
        <v>10.7666</v>
      </c>
      <c r="K87" s="16" t="n">
        <v>14.5482</v>
      </c>
    </row>
    <row r="88">
      <c r="A88" s="14" t="inlineStr">
        <is>
          <t>Lamb Sekuwa</t>
        </is>
      </c>
      <c r="B88" s="14" t="n">
        <v>6</v>
      </c>
      <c r="C88" s="14" t="n">
        <v>27</v>
      </c>
      <c r="D88" s="15" t="n">
        <v>0.45</v>
      </c>
      <c r="E88" s="16" t="n">
        <v>6.5</v>
      </c>
      <c r="F88" s="16" t="n">
        <v>6.4233</v>
      </c>
      <c r="G88" s="15" t="n">
        <v>0.463</v>
      </c>
      <c r="H88" s="15" t="n">
        <v>10</v>
      </c>
      <c r="I88" s="16" t="n">
        <v>14.5</v>
      </c>
      <c r="J88" s="15" t="n">
        <v>10.7076</v>
      </c>
      <c r="K88" s="16" t="n">
        <v>14.5098</v>
      </c>
    </row>
    <row r="89">
      <c r="A89" s="14" t="inlineStr">
        <is>
          <t>Lamb Sekuwa</t>
        </is>
      </c>
      <c r="B89" s="14" t="n">
        <v>7</v>
      </c>
      <c r="C89" s="14" t="n">
        <v>37</v>
      </c>
      <c r="D89" s="15" t="n">
        <v>0.45</v>
      </c>
      <c r="E89" s="16" t="n">
        <v>6.5</v>
      </c>
      <c r="F89" s="16" t="n">
        <v>6.4286</v>
      </c>
      <c r="G89" s="15" t="n">
        <v>0.4606</v>
      </c>
      <c r="H89" s="15" t="n">
        <v>10</v>
      </c>
      <c r="I89" s="16" t="n">
        <v>14.5</v>
      </c>
      <c r="J89" s="15" t="n">
        <v>10.5829</v>
      </c>
      <c r="K89" s="16" t="n">
        <v>14.5936</v>
      </c>
    </row>
    <row r="90">
      <c r="A90" s="14" t="inlineStr">
        <is>
          <t>Lamb Sekuwa</t>
        </is>
      </c>
      <c r="B90" s="14" t="n">
        <v>8</v>
      </c>
      <c r="C90" s="14" t="n">
        <v>34</v>
      </c>
      <c r="D90" s="15" t="n">
        <v>0.45</v>
      </c>
      <c r="E90" s="16" t="n">
        <v>6.5</v>
      </c>
      <c r="F90" s="16" t="n">
        <v>6.3579</v>
      </c>
      <c r="G90" s="15" t="n">
        <v>0.4698</v>
      </c>
      <c r="H90" s="15" t="n">
        <v>10</v>
      </c>
      <c r="I90" s="16" t="n">
        <v>14.5</v>
      </c>
      <c r="J90" s="15" t="n">
        <v>10.6351</v>
      </c>
      <c r="K90" s="16" t="n">
        <v>14.245</v>
      </c>
    </row>
    <row r="91">
      <c r="A91" s="14" t="inlineStr">
        <is>
          <t>Lamb Sekuwa</t>
        </is>
      </c>
      <c r="B91" s="14" t="n">
        <v>9</v>
      </c>
      <c r="C91" s="14" t="n">
        <v>25</v>
      </c>
      <c r="D91" s="15" t="n">
        <v>0.45</v>
      </c>
      <c r="E91" s="16" t="n">
        <v>6.5</v>
      </c>
      <c r="F91" s="16" t="n">
        <v>6.33</v>
      </c>
      <c r="G91" s="15" t="n">
        <v>0.4621</v>
      </c>
      <c r="H91" s="15" t="n">
        <v>10</v>
      </c>
      <c r="I91" s="16" t="n">
        <v>14.5</v>
      </c>
      <c r="J91" s="15" t="n">
        <v>10.4305</v>
      </c>
      <c r="K91" s="16" t="n">
        <v>14.7178</v>
      </c>
    </row>
    <row r="92">
      <c r="A92" s="14" t="inlineStr">
        <is>
          <t>Lamb Sekuwa</t>
        </is>
      </c>
      <c r="B92" s="14" t="n">
        <v>10</v>
      </c>
      <c r="C92" s="14" t="n">
        <v>30</v>
      </c>
      <c r="D92" s="15" t="n">
        <v>0.45</v>
      </c>
      <c r="E92" s="16" t="n">
        <v>6.5</v>
      </c>
      <c r="F92" s="16" t="n">
        <v>6.4253</v>
      </c>
      <c r="G92" s="15" t="n">
        <v>0.453</v>
      </c>
      <c r="H92" s="15" t="n">
        <v>10</v>
      </c>
      <c r="I92" s="16" t="n">
        <v>14.5</v>
      </c>
      <c r="J92" s="15" t="n">
        <v>8.978</v>
      </c>
      <c r="K92" s="16" t="n">
        <v>14.4919</v>
      </c>
    </row>
    <row r="93">
      <c r="A93" s="14" t="inlineStr">
        <is>
          <t>Lamb Sekuwa</t>
        </is>
      </c>
      <c r="B93" s="14" t="n">
        <v>11</v>
      </c>
      <c r="C93" s="14" t="n">
        <v>31</v>
      </c>
      <c r="D93" s="15" t="n">
        <v>0.45</v>
      </c>
      <c r="E93" s="16" t="n">
        <v>6.5</v>
      </c>
      <c r="F93" s="16" t="n">
        <v>6.3821</v>
      </c>
      <c r="G93" s="15" t="n">
        <v>0.4477</v>
      </c>
      <c r="H93" s="15" t="n">
        <v>10</v>
      </c>
      <c r="I93" s="16" t="n">
        <v>14.5</v>
      </c>
      <c r="J93" s="15" t="n">
        <v>9.9465</v>
      </c>
      <c r="K93" s="16" t="n">
        <v>14.3109</v>
      </c>
    </row>
    <row r="94">
      <c r="A94" s="14" t="inlineStr">
        <is>
          <t>Lamb Sekuwa</t>
        </is>
      </c>
      <c r="B94" s="14" t="n">
        <v>12</v>
      </c>
      <c r="C94" s="14" t="n">
        <v>32</v>
      </c>
      <c r="D94" s="15" t="n">
        <v>0.45</v>
      </c>
      <c r="E94" s="16" t="n">
        <v>6.5</v>
      </c>
      <c r="F94" s="16" t="n">
        <v>6.3925</v>
      </c>
      <c r="G94" s="15" t="n">
        <v>0.4587</v>
      </c>
      <c r="H94" s="15" t="n">
        <v>10</v>
      </c>
      <c r="I94" s="16" t="n">
        <v>14.5</v>
      </c>
      <c r="J94" s="15" t="n">
        <v>9.691700000000001</v>
      </c>
      <c r="K94" s="16" t="n">
        <v>14.3464</v>
      </c>
    </row>
    <row r="95">
      <c r="A95" s="14" t="inlineStr">
        <is>
          <t>Lamb Sekuwa</t>
        </is>
      </c>
      <c r="B95" s="14" t="n">
        <v>13</v>
      </c>
      <c r="C95" s="14" t="n">
        <v>29</v>
      </c>
      <c r="D95" s="15" t="n">
        <v>0.45</v>
      </c>
      <c r="E95" s="16" t="n">
        <v>6.5</v>
      </c>
      <c r="F95" s="16" t="n">
        <v>6.4078</v>
      </c>
      <c r="G95" s="15" t="n">
        <v>0.4591</v>
      </c>
      <c r="H95" s="15" t="n">
        <v>10</v>
      </c>
      <c r="I95" s="16" t="n">
        <v>14.5</v>
      </c>
      <c r="J95" s="15" t="n">
        <v>10.3024</v>
      </c>
      <c r="K95" s="16" t="n">
        <v>14.4231</v>
      </c>
    </row>
    <row r="96">
      <c r="A96" s="14" t="inlineStr">
        <is>
          <t>Lamb Sekuwa</t>
        </is>
      </c>
      <c r="B96" s="14" t="n">
        <v>14</v>
      </c>
      <c r="C96" s="14" t="n">
        <v>27</v>
      </c>
      <c r="D96" s="15" t="n">
        <v>0.45</v>
      </c>
      <c r="E96" s="16" t="n">
        <v>6.5</v>
      </c>
      <c r="F96" s="16" t="n">
        <v>6.3802</v>
      </c>
      <c r="G96" s="15" t="n">
        <v>0.4595</v>
      </c>
      <c r="H96" s="15" t="n">
        <v>10</v>
      </c>
      <c r="I96" s="16" t="n">
        <v>14.5</v>
      </c>
      <c r="J96" s="15" t="n">
        <v>9.6678</v>
      </c>
      <c r="K96" s="16" t="n">
        <v>14.3263</v>
      </c>
    </row>
    <row r="97">
      <c r="A97" s="14" t="inlineStr">
        <is>
          <t>Lamb Sekuwa</t>
        </is>
      </c>
      <c r="B97" s="14" t="n">
        <v>15</v>
      </c>
      <c r="C97" s="14" t="n">
        <v>37</v>
      </c>
      <c r="D97" s="15" t="n">
        <v>0.45</v>
      </c>
      <c r="E97" s="16" t="n">
        <v>6.5</v>
      </c>
      <c r="F97" s="16" t="n">
        <v>6.3839</v>
      </c>
      <c r="G97" s="15" t="n">
        <v>0.4634</v>
      </c>
      <c r="H97" s="15" t="n">
        <v>10</v>
      </c>
      <c r="I97" s="16" t="n">
        <v>14.5</v>
      </c>
      <c r="J97" s="15" t="n">
        <v>10.1284</v>
      </c>
      <c r="K97" s="16" t="n">
        <v>14.4837</v>
      </c>
    </row>
    <row r="98">
      <c r="A98" s="14" t="inlineStr">
        <is>
          <t>Lamb Sekuwa</t>
        </is>
      </c>
      <c r="B98" s="14" t="n">
        <v>16</v>
      </c>
      <c r="C98" s="14" t="n">
        <v>29</v>
      </c>
      <c r="D98" s="15" t="n">
        <v>0.45</v>
      </c>
      <c r="E98" s="16" t="n">
        <v>6.5</v>
      </c>
      <c r="F98" s="16" t="n">
        <v>6.399</v>
      </c>
      <c r="G98" s="15" t="n">
        <v>0.4774</v>
      </c>
      <c r="H98" s="15" t="n">
        <v>10</v>
      </c>
      <c r="I98" s="16" t="n">
        <v>14.5</v>
      </c>
      <c r="J98" s="15" t="n">
        <v>9.681699999999999</v>
      </c>
      <c r="K98" s="16" t="n">
        <v>14.4165</v>
      </c>
    </row>
    <row r="99">
      <c r="A99" s="14" t="inlineStr">
        <is>
          <t>Lamb Sekuwa</t>
        </is>
      </c>
      <c r="B99" s="14" t="n">
        <v>17</v>
      </c>
      <c r="C99" s="14" t="n">
        <v>29</v>
      </c>
      <c r="D99" s="15" t="n">
        <v>0.45</v>
      </c>
      <c r="E99" s="16" t="n">
        <v>6.5</v>
      </c>
      <c r="F99" s="16" t="n">
        <v>6.3232</v>
      </c>
      <c r="G99" s="15" t="n">
        <v>0.4578</v>
      </c>
      <c r="H99" s="15" t="n">
        <v>10</v>
      </c>
      <c r="I99" s="16" t="n">
        <v>14.5</v>
      </c>
      <c r="J99" s="15" t="n">
        <v>10.8201</v>
      </c>
      <c r="K99" s="16" t="n">
        <v>14.7385</v>
      </c>
    </row>
    <row r="100">
      <c r="A100" s="14" t="inlineStr">
        <is>
          <t>Lamb Sekuwa</t>
        </is>
      </c>
      <c r="B100" s="14" t="n">
        <v>18</v>
      </c>
      <c r="C100" s="14" t="n">
        <v>29</v>
      </c>
      <c r="D100" s="15" t="n">
        <v>0.45</v>
      </c>
      <c r="E100" s="16" t="n">
        <v>6.5</v>
      </c>
      <c r="F100" s="16" t="n">
        <v>6.398</v>
      </c>
      <c r="G100" s="15" t="n">
        <v>0.4751</v>
      </c>
      <c r="H100" s="15" t="n">
        <v>10</v>
      </c>
      <c r="I100" s="16" t="n">
        <v>14.5</v>
      </c>
      <c r="J100" s="15" t="n">
        <v>11.8473</v>
      </c>
      <c r="K100" s="16" t="n">
        <v>14.6623</v>
      </c>
    </row>
    <row r="101">
      <c r="A101" s="14" t="inlineStr">
        <is>
          <t>Lamb Sekuwa</t>
        </is>
      </c>
      <c r="B101" s="14" t="n">
        <v>19</v>
      </c>
      <c r="C101" s="14" t="n">
        <v>29</v>
      </c>
      <c r="D101" s="15" t="n">
        <v>0.45</v>
      </c>
      <c r="E101" s="16" t="n">
        <v>6.5</v>
      </c>
      <c r="F101" s="16" t="n">
        <v>6.3582</v>
      </c>
      <c r="G101" s="15" t="n">
        <v>0.4587</v>
      </c>
      <c r="H101" s="15" t="n">
        <v>10</v>
      </c>
      <c r="I101" s="16" t="n">
        <v>14.5</v>
      </c>
      <c r="J101" s="15" t="n">
        <v>10.1221</v>
      </c>
      <c r="K101" s="16" t="n">
        <v>14.3903</v>
      </c>
    </row>
    <row r="102">
      <c r="A102" s="14" t="inlineStr">
        <is>
          <t>Lamb Sekuwa</t>
        </is>
      </c>
      <c r="B102" s="14" t="n">
        <v>20</v>
      </c>
      <c r="C102" s="14" t="n">
        <v>24</v>
      </c>
      <c r="D102" s="15" t="n">
        <v>0.45</v>
      </c>
      <c r="E102" s="16" t="n">
        <v>6.5</v>
      </c>
      <c r="F102" s="16" t="n">
        <v>6.3662</v>
      </c>
      <c r="G102" s="15" t="n">
        <v>0.4643</v>
      </c>
      <c r="H102" s="15" t="n">
        <v>10</v>
      </c>
      <c r="I102" s="16" t="n">
        <v>14.5</v>
      </c>
      <c r="J102" s="15" t="n">
        <v>11.0123</v>
      </c>
      <c r="K102" s="16" t="n">
        <v>14.6278</v>
      </c>
    </row>
    <row r="103">
      <c r="A103" s="14" t="inlineStr">
        <is>
          <t>Lamb Sekuwa</t>
        </is>
      </c>
      <c r="B103" s="14" t="n">
        <v>21</v>
      </c>
      <c r="C103" s="14" t="n">
        <v>29</v>
      </c>
      <c r="D103" s="15" t="n">
        <v>0.45</v>
      </c>
      <c r="E103" s="16" t="n">
        <v>6.5</v>
      </c>
      <c r="F103" s="16" t="n">
        <v>6.4215</v>
      </c>
      <c r="G103" s="15" t="n">
        <v>0.4756</v>
      </c>
      <c r="H103" s="15" t="n">
        <v>10</v>
      </c>
      <c r="I103" s="16" t="n">
        <v>14.5</v>
      </c>
      <c r="J103" s="15" t="n">
        <v>9.4832</v>
      </c>
      <c r="K103" s="16" t="n">
        <v>14.7209</v>
      </c>
    </row>
    <row r="104">
      <c r="A104" s="14" t="inlineStr">
        <is>
          <t>Lamb Sekuwa</t>
        </is>
      </c>
      <c r="B104" s="14" t="n">
        <v>22</v>
      </c>
      <c r="C104" s="14" t="n">
        <v>31</v>
      </c>
      <c r="D104" s="15" t="n">
        <v>0.45</v>
      </c>
      <c r="E104" s="16" t="n">
        <v>6.5</v>
      </c>
      <c r="F104" s="16" t="n">
        <v>6.356</v>
      </c>
      <c r="G104" s="15" t="n">
        <v>0.4741</v>
      </c>
      <c r="H104" s="15" t="n">
        <v>10</v>
      </c>
      <c r="I104" s="16" t="n">
        <v>14.5</v>
      </c>
      <c r="J104" s="15" t="n">
        <v>9.474600000000001</v>
      </c>
      <c r="K104" s="16" t="n">
        <v>14.2995</v>
      </c>
    </row>
    <row r="105">
      <c r="A105" s="14" t="inlineStr">
        <is>
          <t>Lamb Sekuwa</t>
        </is>
      </c>
      <c r="B105" s="14" t="n">
        <v>23</v>
      </c>
      <c r="C105" s="14" t="n">
        <v>33</v>
      </c>
      <c r="D105" s="15" t="n">
        <v>0.45</v>
      </c>
      <c r="E105" s="16" t="n">
        <v>6.5</v>
      </c>
      <c r="F105" s="16" t="n">
        <v>6.4326</v>
      </c>
      <c r="G105" s="15" t="n">
        <v>0.4641</v>
      </c>
      <c r="H105" s="15" t="n">
        <v>10</v>
      </c>
      <c r="I105" s="16" t="n">
        <v>14.5</v>
      </c>
      <c r="J105" s="15" t="n">
        <v>10.3378</v>
      </c>
      <c r="K105" s="16" t="n">
        <v>14.4057</v>
      </c>
    </row>
    <row r="106">
      <c r="A106" s="14" t="inlineStr">
        <is>
          <t>Lamb Sekuwa</t>
        </is>
      </c>
      <c r="B106" s="14" t="n">
        <v>24</v>
      </c>
      <c r="C106" s="14" t="n">
        <v>28</v>
      </c>
      <c r="D106" s="15" t="n">
        <v>0.45</v>
      </c>
      <c r="E106" s="16" t="n">
        <v>6.5</v>
      </c>
      <c r="F106" s="16" t="n">
        <v>6.3676</v>
      </c>
      <c r="G106" s="15" t="n">
        <v>0.4697</v>
      </c>
      <c r="H106" s="15" t="n">
        <v>10</v>
      </c>
      <c r="I106" s="16" t="n">
        <v>14.5</v>
      </c>
      <c r="J106" s="15" t="n">
        <v>10.0291</v>
      </c>
      <c r="K106" s="16" t="n">
        <v>14.3795</v>
      </c>
    </row>
    <row r="107">
      <c r="A107" s="14" t="inlineStr">
        <is>
          <t>Lamb Sekuwa</t>
        </is>
      </c>
      <c r="B107" s="14" t="n">
        <v>25</v>
      </c>
      <c r="C107" s="14" t="n">
        <v>30</v>
      </c>
      <c r="D107" s="15" t="n">
        <v>0.45</v>
      </c>
      <c r="E107" s="16" t="n">
        <v>6.5</v>
      </c>
      <c r="F107" s="16" t="n">
        <v>6.3817</v>
      </c>
      <c r="G107" s="15" t="n">
        <v>0.4762</v>
      </c>
      <c r="H107" s="15" t="n">
        <v>10</v>
      </c>
      <c r="I107" s="16" t="n">
        <v>14.5</v>
      </c>
      <c r="J107" s="15" t="n">
        <v>9.455500000000001</v>
      </c>
      <c r="K107" s="16" t="n">
        <v>14.4164</v>
      </c>
    </row>
    <row r="108">
      <c r="A108" s="14" t="inlineStr">
        <is>
          <t>Lamb Sekuwa</t>
        </is>
      </c>
      <c r="B108" s="14" t="n">
        <v>26</v>
      </c>
      <c r="C108" s="14" t="n">
        <v>32</v>
      </c>
      <c r="D108" s="15" t="n">
        <v>0.45</v>
      </c>
      <c r="E108" s="16" t="n">
        <v>6.5</v>
      </c>
      <c r="F108" s="16" t="n">
        <v>6.396</v>
      </c>
      <c r="G108" s="15" t="n">
        <v>0.4705</v>
      </c>
      <c r="H108" s="15" t="n">
        <v>10</v>
      </c>
      <c r="I108" s="16" t="n">
        <v>14.5</v>
      </c>
      <c r="J108" s="15" t="n">
        <v>10.0596</v>
      </c>
      <c r="K108" s="16" t="n">
        <v>14.609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7" t="inlineStr">
        <is>
          <t>Variance Calculations (all formulas; negative = favorable)</t>
        </is>
      </c>
    </row>
    <row r="2">
      <c r="A2" s="6" t="inlineStr">
        <is>
          <t>MPV = (Actual Price - Std Price) x Actual Qty   |   MQV = (Actual Qty - Std Qty) x Std Price</t>
        </is>
      </c>
    </row>
    <row r="3">
      <c r="A3" s="6" t="inlineStr">
        <is>
          <t>LRV = (Actual Rate - Std Rate) x Actual Hours    |   LEV = (Actual Hours - Std Hours) x Std Rate</t>
        </is>
      </c>
    </row>
    <row r="5">
      <c r="A5" s="8" t="inlineStr">
        <is>
          <t>Dish</t>
        </is>
      </c>
      <c r="B5" s="8" t="inlineStr">
        <is>
          <t>Day</t>
        </is>
      </c>
      <c r="C5" s="8" t="inlineStr">
        <is>
          <t>Orders</t>
        </is>
      </c>
      <c r="D5" s="8" t="inlineStr">
        <is>
          <t>Actual Mat Qty Total</t>
        </is>
      </c>
      <c r="E5" s="8" t="inlineStr">
        <is>
          <t>Std Mat Qty Total</t>
        </is>
      </c>
      <c r="F5" s="8" t="inlineStr">
        <is>
          <t>Actual Labor Hrs Total</t>
        </is>
      </c>
      <c r="G5" s="8" t="inlineStr">
        <is>
          <t>Std Labor Hrs Total</t>
        </is>
      </c>
      <c r="H5" s="8" t="inlineStr">
        <is>
          <t>MPV</t>
        </is>
      </c>
      <c r="I5" s="8" t="inlineStr">
        <is>
          <t>MQV</t>
        </is>
      </c>
      <c r="J5" s="8" t="inlineStr">
        <is>
          <t>LRV</t>
        </is>
      </c>
      <c r="K5" s="8" t="inlineStr">
        <is>
          <t>LEV</t>
        </is>
      </c>
      <c r="L5" s="8" t="inlineStr">
        <is>
          <t>Total Material Var</t>
        </is>
      </c>
      <c r="M5" s="8" t="inlineStr">
        <is>
          <t>Total Labor Var</t>
        </is>
      </c>
      <c r="N5" s="8" t="inlineStr">
        <is>
          <t>Grand Total Var</t>
        </is>
      </c>
    </row>
    <row r="6">
      <c r="A6" s="3">
        <f>'Daily Data'!A5</f>
        <v/>
      </c>
      <c r="B6" s="3">
        <f>'Daily Data'!B5</f>
        <v/>
      </c>
      <c r="C6" s="3">
        <f>'Daily Data'!C5</f>
        <v/>
      </c>
      <c r="D6" s="17">
        <f>'Daily Data'!G5*'Daily Data'!C5</f>
        <v/>
      </c>
      <c r="E6" s="17">
        <f>'Daily Data'!D5*'Daily Data'!C5</f>
        <v/>
      </c>
      <c r="F6" s="17">
        <f>('Daily Data'!J5*'Daily Data'!C5)/60</f>
        <v/>
      </c>
      <c r="G6" s="17">
        <f>('Daily Data'!H5*'Daily Data'!C5)/60</f>
        <v/>
      </c>
      <c r="H6" s="18">
        <f>('Daily Data'!F5-'Daily Data'!E5)*D6</f>
        <v/>
      </c>
      <c r="I6" s="18">
        <f>(D6-E6)*'Daily Data'!E5</f>
        <v/>
      </c>
      <c r="J6" s="18">
        <f>('Daily Data'!K5-'Daily Data'!I5)*F6</f>
        <v/>
      </c>
      <c r="K6" s="18">
        <f>(F6-G6)*'Daily Data'!I5</f>
        <v/>
      </c>
      <c r="L6" s="19">
        <f>H6+I6</f>
        <v/>
      </c>
      <c r="M6" s="19">
        <f>J6+K6</f>
        <v/>
      </c>
      <c r="N6" s="19">
        <f>L6+M6</f>
        <v/>
      </c>
    </row>
    <row r="7">
      <c r="A7" s="3">
        <f>'Daily Data'!A6</f>
        <v/>
      </c>
      <c r="B7" s="3">
        <f>'Daily Data'!B6</f>
        <v/>
      </c>
      <c r="C7" s="3">
        <f>'Daily Data'!C6</f>
        <v/>
      </c>
      <c r="D7" s="17">
        <f>'Daily Data'!G6*'Daily Data'!C6</f>
        <v/>
      </c>
      <c r="E7" s="17">
        <f>'Daily Data'!D6*'Daily Data'!C6</f>
        <v/>
      </c>
      <c r="F7" s="17">
        <f>('Daily Data'!J6*'Daily Data'!C6)/60</f>
        <v/>
      </c>
      <c r="G7" s="17">
        <f>('Daily Data'!H6*'Daily Data'!C6)/60</f>
        <v/>
      </c>
      <c r="H7" s="18">
        <f>('Daily Data'!F6-'Daily Data'!E6)*D7</f>
        <v/>
      </c>
      <c r="I7" s="18">
        <f>(D7-E7)*'Daily Data'!E6</f>
        <v/>
      </c>
      <c r="J7" s="18">
        <f>('Daily Data'!K6-'Daily Data'!I6)*F7</f>
        <v/>
      </c>
      <c r="K7" s="18">
        <f>(F7-G7)*'Daily Data'!I6</f>
        <v/>
      </c>
      <c r="L7" s="19">
        <f>H7+I7</f>
        <v/>
      </c>
      <c r="M7" s="19">
        <f>J7+K7</f>
        <v/>
      </c>
      <c r="N7" s="19">
        <f>L7+M7</f>
        <v/>
      </c>
    </row>
    <row r="8">
      <c r="A8" s="3">
        <f>'Daily Data'!A7</f>
        <v/>
      </c>
      <c r="B8" s="3">
        <f>'Daily Data'!B7</f>
        <v/>
      </c>
      <c r="C8" s="3">
        <f>'Daily Data'!C7</f>
        <v/>
      </c>
      <c r="D8" s="17">
        <f>'Daily Data'!G7*'Daily Data'!C7</f>
        <v/>
      </c>
      <c r="E8" s="17">
        <f>'Daily Data'!D7*'Daily Data'!C7</f>
        <v/>
      </c>
      <c r="F8" s="17">
        <f>('Daily Data'!J7*'Daily Data'!C7)/60</f>
        <v/>
      </c>
      <c r="G8" s="17">
        <f>('Daily Data'!H7*'Daily Data'!C7)/60</f>
        <v/>
      </c>
      <c r="H8" s="18">
        <f>('Daily Data'!F7-'Daily Data'!E7)*D8</f>
        <v/>
      </c>
      <c r="I8" s="18">
        <f>(D8-E8)*'Daily Data'!E7</f>
        <v/>
      </c>
      <c r="J8" s="18">
        <f>('Daily Data'!K7-'Daily Data'!I7)*F8</f>
        <v/>
      </c>
      <c r="K8" s="18">
        <f>(F8-G8)*'Daily Data'!I7</f>
        <v/>
      </c>
      <c r="L8" s="19">
        <f>H8+I8</f>
        <v/>
      </c>
      <c r="M8" s="19">
        <f>J8+K8</f>
        <v/>
      </c>
      <c r="N8" s="19">
        <f>L8+M8</f>
        <v/>
      </c>
    </row>
    <row r="9">
      <c r="A9" s="3">
        <f>'Daily Data'!A8</f>
        <v/>
      </c>
      <c r="B9" s="3">
        <f>'Daily Data'!B8</f>
        <v/>
      </c>
      <c r="C9" s="3">
        <f>'Daily Data'!C8</f>
        <v/>
      </c>
      <c r="D9" s="17">
        <f>'Daily Data'!G8*'Daily Data'!C8</f>
        <v/>
      </c>
      <c r="E9" s="17">
        <f>'Daily Data'!D8*'Daily Data'!C8</f>
        <v/>
      </c>
      <c r="F9" s="17">
        <f>('Daily Data'!J8*'Daily Data'!C8)/60</f>
        <v/>
      </c>
      <c r="G9" s="17">
        <f>('Daily Data'!H8*'Daily Data'!C8)/60</f>
        <v/>
      </c>
      <c r="H9" s="18">
        <f>('Daily Data'!F8-'Daily Data'!E8)*D9</f>
        <v/>
      </c>
      <c r="I9" s="18">
        <f>(D9-E9)*'Daily Data'!E8</f>
        <v/>
      </c>
      <c r="J9" s="18">
        <f>('Daily Data'!K8-'Daily Data'!I8)*F9</f>
        <v/>
      </c>
      <c r="K9" s="18">
        <f>(F9-G9)*'Daily Data'!I8</f>
        <v/>
      </c>
      <c r="L9" s="19">
        <f>H9+I9</f>
        <v/>
      </c>
      <c r="M9" s="19">
        <f>J9+K9</f>
        <v/>
      </c>
      <c r="N9" s="19">
        <f>L9+M9</f>
        <v/>
      </c>
    </row>
    <row r="10">
      <c r="A10" s="3">
        <f>'Daily Data'!A9</f>
        <v/>
      </c>
      <c r="B10" s="3">
        <f>'Daily Data'!B9</f>
        <v/>
      </c>
      <c r="C10" s="3">
        <f>'Daily Data'!C9</f>
        <v/>
      </c>
      <c r="D10" s="17">
        <f>'Daily Data'!G9*'Daily Data'!C9</f>
        <v/>
      </c>
      <c r="E10" s="17">
        <f>'Daily Data'!D9*'Daily Data'!C9</f>
        <v/>
      </c>
      <c r="F10" s="17">
        <f>('Daily Data'!J9*'Daily Data'!C9)/60</f>
        <v/>
      </c>
      <c r="G10" s="17">
        <f>('Daily Data'!H9*'Daily Data'!C9)/60</f>
        <v/>
      </c>
      <c r="H10" s="18">
        <f>('Daily Data'!F9-'Daily Data'!E9)*D10</f>
        <v/>
      </c>
      <c r="I10" s="18">
        <f>(D10-E10)*'Daily Data'!E9</f>
        <v/>
      </c>
      <c r="J10" s="18">
        <f>('Daily Data'!K9-'Daily Data'!I9)*F10</f>
        <v/>
      </c>
      <c r="K10" s="18">
        <f>(F10-G10)*'Daily Data'!I9</f>
        <v/>
      </c>
      <c r="L10" s="19">
        <f>H10+I10</f>
        <v/>
      </c>
      <c r="M10" s="19">
        <f>J10+K10</f>
        <v/>
      </c>
      <c r="N10" s="19">
        <f>L10+M10</f>
        <v/>
      </c>
    </row>
    <row r="11">
      <c r="A11" s="3">
        <f>'Daily Data'!A10</f>
        <v/>
      </c>
      <c r="B11" s="3">
        <f>'Daily Data'!B10</f>
        <v/>
      </c>
      <c r="C11" s="3">
        <f>'Daily Data'!C10</f>
        <v/>
      </c>
      <c r="D11" s="17">
        <f>'Daily Data'!G10*'Daily Data'!C10</f>
        <v/>
      </c>
      <c r="E11" s="17">
        <f>'Daily Data'!D10*'Daily Data'!C10</f>
        <v/>
      </c>
      <c r="F11" s="17">
        <f>('Daily Data'!J10*'Daily Data'!C10)/60</f>
        <v/>
      </c>
      <c r="G11" s="17">
        <f>('Daily Data'!H10*'Daily Data'!C10)/60</f>
        <v/>
      </c>
      <c r="H11" s="18">
        <f>('Daily Data'!F10-'Daily Data'!E10)*D11</f>
        <v/>
      </c>
      <c r="I11" s="18">
        <f>(D11-E11)*'Daily Data'!E10</f>
        <v/>
      </c>
      <c r="J11" s="18">
        <f>('Daily Data'!K10-'Daily Data'!I10)*F11</f>
        <v/>
      </c>
      <c r="K11" s="18">
        <f>(F11-G11)*'Daily Data'!I10</f>
        <v/>
      </c>
      <c r="L11" s="19">
        <f>H11+I11</f>
        <v/>
      </c>
      <c r="M11" s="19">
        <f>J11+K11</f>
        <v/>
      </c>
      <c r="N11" s="19">
        <f>L11+M11</f>
        <v/>
      </c>
    </row>
    <row r="12">
      <c r="A12" s="3">
        <f>'Daily Data'!A11</f>
        <v/>
      </c>
      <c r="B12" s="3">
        <f>'Daily Data'!B11</f>
        <v/>
      </c>
      <c r="C12" s="3">
        <f>'Daily Data'!C11</f>
        <v/>
      </c>
      <c r="D12" s="17">
        <f>'Daily Data'!G11*'Daily Data'!C11</f>
        <v/>
      </c>
      <c r="E12" s="17">
        <f>'Daily Data'!D11*'Daily Data'!C11</f>
        <v/>
      </c>
      <c r="F12" s="17">
        <f>('Daily Data'!J11*'Daily Data'!C11)/60</f>
        <v/>
      </c>
      <c r="G12" s="17">
        <f>('Daily Data'!H11*'Daily Data'!C11)/60</f>
        <v/>
      </c>
      <c r="H12" s="18">
        <f>('Daily Data'!F11-'Daily Data'!E11)*D12</f>
        <v/>
      </c>
      <c r="I12" s="18">
        <f>(D12-E12)*'Daily Data'!E11</f>
        <v/>
      </c>
      <c r="J12" s="18">
        <f>('Daily Data'!K11-'Daily Data'!I11)*F12</f>
        <v/>
      </c>
      <c r="K12" s="18">
        <f>(F12-G12)*'Daily Data'!I11</f>
        <v/>
      </c>
      <c r="L12" s="19">
        <f>H12+I12</f>
        <v/>
      </c>
      <c r="M12" s="19">
        <f>J12+K12</f>
        <v/>
      </c>
      <c r="N12" s="19">
        <f>L12+M12</f>
        <v/>
      </c>
    </row>
    <row r="13">
      <c r="A13" s="3">
        <f>'Daily Data'!A12</f>
        <v/>
      </c>
      <c r="B13" s="3">
        <f>'Daily Data'!B12</f>
        <v/>
      </c>
      <c r="C13" s="3">
        <f>'Daily Data'!C12</f>
        <v/>
      </c>
      <c r="D13" s="17">
        <f>'Daily Data'!G12*'Daily Data'!C12</f>
        <v/>
      </c>
      <c r="E13" s="17">
        <f>'Daily Data'!D12*'Daily Data'!C12</f>
        <v/>
      </c>
      <c r="F13" s="17">
        <f>('Daily Data'!J12*'Daily Data'!C12)/60</f>
        <v/>
      </c>
      <c r="G13" s="17">
        <f>('Daily Data'!H12*'Daily Data'!C12)/60</f>
        <v/>
      </c>
      <c r="H13" s="18">
        <f>('Daily Data'!F12-'Daily Data'!E12)*D13</f>
        <v/>
      </c>
      <c r="I13" s="18">
        <f>(D13-E13)*'Daily Data'!E12</f>
        <v/>
      </c>
      <c r="J13" s="18">
        <f>('Daily Data'!K12-'Daily Data'!I12)*F13</f>
        <v/>
      </c>
      <c r="K13" s="18">
        <f>(F13-G13)*'Daily Data'!I12</f>
        <v/>
      </c>
      <c r="L13" s="19">
        <f>H13+I13</f>
        <v/>
      </c>
      <c r="M13" s="19">
        <f>J13+K13</f>
        <v/>
      </c>
      <c r="N13" s="19">
        <f>L13+M13</f>
        <v/>
      </c>
    </row>
    <row r="14">
      <c r="A14" s="3">
        <f>'Daily Data'!A13</f>
        <v/>
      </c>
      <c r="B14" s="3">
        <f>'Daily Data'!B13</f>
        <v/>
      </c>
      <c r="C14" s="3">
        <f>'Daily Data'!C13</f>
        <v/>
      </c>
      <c r="D14" s="17">
        <f>'Daily Data'!G13*'Daily Data'!C13</f>
        <v/>
      </c>
      <c r="E14" s="17">
        <f>'Daily Data'!D13*'Daily Data'!C13</f>
        <v/>
      </c>
      <c r="F14" s="17">
        <f>('Daily Data'!J13*'Daily Data'!C13)/60</f>
        <v/>
      </c>
      <c r="G14" s="17">
        <f>('Daily Data'!H13*'Daily Data'!C13)/60</f>
        <v/>
      </c>
      <c r="H14" s="18">
        <f>('Daily Data'!F13-'Daily Data'!E13)*D14</f>
        <v/>
      </c>
      <c r="I14" s="18">
        <f>(D14-E14)*'Daily Data'!E13</f>
        <v/>
      </c>
      <c r="J14" s="18">
        <f>('Daily Data'!K13-'Daily Data'!I13)*F14</f>
        <v/>
      </c>
      <c r="K14" s="18">
        <f>(F14-G14)*'Daily Data'!I13</f>
        <v/>
      </c>
      <c r="L14" s="19">
        <f>H14+I14</f>
        <v/>
      </c>
      <c r="M14" s="19">
        <f>J14+K14</f>
        <v/>
      </c>
      <c r="N14" s="19">
        <f>L14+M14</f>
        <v/>
      </c>
    </row>
    <row r="15">
      <c r="A15" s="3">
        <f>'Daily Data'!A14</f>
        <v/>
      </c>
      <c r="B15" s="3">
        <f>'Daily Data'!B14</f>
        <v/>
      </c>
      <c r="C15" s="3">
        <f>'Daily Data'!C14</f>
        <v/>
      </c>
      <c r="D15" s="17">
        <f>'Daily Data'!G14*'Daily Data'!C14</f>
        <v/>
      </c>
      <c r="E15" s="17">
        <f>'Daily Data'!D14*'Daily Data'!C14</f>
        <v/>
      </c>
      <c r="F15" s="17">
        <f>('Daily Data'!J14*'Daily Data'!C14)/60</f>
        <v/>
      </c>
      <c r="G15" s="17">
        <f>('Daily Data'!H14*'Daily Data'!C14)/60</f>
        <v/>
      </c>
      <c r="H15" s="18">
        <f>('Daily Data'!F14-'Daily Data'!E14)*D15</f>
        <v/>
      </c>
      <c r="I15" s="18">
        <f>(D15-E15)*'Daily Data'!E14</f>
        <v/>
      </c>
      <c r="J15" s="18">
        <f>('Daily Data'!K14-'Daily Data'!I14)*F15</f>
        <v/>
      </c>
      <c r="K15" s="18">
        <f>(F15-G15)*'Daily Data'!I14</f>
        <v/>
      </c>
      <c r="L15" s="19">
        <f>H15+I15</f>
        <v/>
      </c>
      <c r="M15" s="19">
        <f>J15+K15</f>
        <v/>
      </c>
      <c r="N15" s="19">
        <f>L15+M15</f>
        <v/>
      </c>
    </row>
    <row r="16">
      <c r="A16" s="3">
        <f>'Daily Data'!A15</f>
        <v/>
      </c>
      <c r="B16" s="3">
        <f>'Daily Data'!B15</f>
        <v/>
      </c>
      <c r="C16" s="3">
        <f>'Daily Data'!C15</f>
        <v/>
      </c>
      <c r="D16" s="17">
        <f>'Daily Data'!G15*'Daily Data'!C15</f>
        <v/>
      </c>
      <c r="E16" s="17">
        <f>'Daily Data'!D15*'Daily Data'!C15</f>
        <v/>
      </c>
      <c r="F16" s="17">
        <f>('Daily Data'!J15*'Daily Data'!C15)/60</f>
        <v/>
      </c>
      <c r="G16" s="17">
        <f>('Daily Data'!H15*'Daily Data'!C15)/60</f>
        <v/>
      </c>
      <c r="H16" s="18">
        <f>('Daily Data'!F15-'Daily Data'!E15)*D16</f>
        <v/>
      </c>
      <c r="I16" s="18">
        <f>(D16-E16)*'Daily Data'!E15</f>
        <v/>
      </c>
      <c r="J16" s="18">
        <f>('Daily Data'!K15-'Daily Data'!I15)*F16</f>
        <v/>
      </c>
      <c r="K16" s="18">
        <f>(F16-G16)*'Daily Data'!I15</f>
        <v/>
      </c>
      <c r="L16" s="19">
        <f>H16+I16</f>
        <v/>
      </c>
      <c r="M16" s="19">
        <f>J16+K16</f>
        <v/>
      </c>
      <c r="N16" s="19">
        <f>L16+M16</f>
        <v/>
      </c>
    </row>
    <row r="17">
      <c r="A17" s="3">
        <f>'Daily Data'!A16</f>
        <v/>
      </c>
      <c r="B17" s="3">
        <f>'Daily Data'!B16</f>
        <v/>
      </c>
      <c r="C17" s="3">
        <f>'Daily Data'!C16</f>
        <v/>
      </c>
      <c r="D17" s="17">
        <f>'Daily Data'!G16*'Daily Data'!C16</f>
        <v/>
      </c>
      <c r="E17" s="17">
        <f>'Daily Data'!D16*'Daily Data'!C16</f>
        <v/>
      </c>
      <c r="F17" s="17">
        <f>('Daily Data'!J16*'Daily Data'!C16)/60</f>
        <v/>
      </c>
      <c r="G17" s="17">
        <f>('Daily Data'!H16*'Daily Data'!C16)/60</f>
        <v/>
      </c>
      <c r="H17" s="18">
        <f>('Daily Data'!F16-'Daily Data'!E16)*D17</f>
        <v/>
      </c>
      <c r="I17" s="18">
        <f>(D17-E17)*'Daily Data'!E16</f>
        <v/>
      </c>
      <c r="J17" s="18">
        <f>('Daily Data'!K16-'Daily Data'!I16)*F17</f>
        <v/>
      </c>
      <c r="K17" s="18">
        <f>(F17-G17)*'Daily Data'!I16</f>
        <v/>
      </c>
      <c r="L17" s="19">
        <f>H17+I17</f>
        <v/>
      </c>
      <c r="M17" s="19">
        <f>J17+K17</f>
        <v/>
      </c>
      <c r="N17" s="19">
        <f>L17+M17</f>
        <v/>
      </c>
    </row>
    <row r="18">
      <c r="A18" s="3">
        <f>'Daily Data'!A17</f>
        <v/>
      </c>
      <c r="B18" s="3">
        <f>'Daily Data'!B17</f>
        <v/>
      </c>
      <c r="C18" s="3">
        <f>'Daily Data'!C17</f>
        <v/>
      </c>
      <c r="D18" s="17">
        <f>'Daily Data'!G17*'Daily Data'!C17</f>
        <v/>
      </c>
      <c r="E18" s="17">
        <f>'Daily Data'!D17*'Daily Data'!C17</f>
        <v/>
      </c>
      <c r="F18" s="17">
        <f>('Daily Data'!J17*'Daily Data'!C17)/60</f>
        <v/>
      </c>
      <c r="G18" s="17">
        <f>('Daily Data'!H17*'Daily Data'!C17)/60</f>
        <v/>
      </c>
      <c r="H18" s="18">
        <f>('Daily Data'!F17-'Daily Data'!E17)*D18</f>
        <v/>
      </c>
      <c r="I18" s="18">
        <f>(D18-E18)*'Daily Data'!E17</f>
        <v/>
      </c>
      <c r="J18" s="18">
        <f>('Daily Data'!K17-'Daily Data'!I17)*F18</f>
        <v/>
      </c>
      <c r="K18" s="18">
        <f>(F18-G18)*'Daily Data'!I17</f>
        <v/>
      </c>
      <c r="L18" s="19">
        <f>H18+I18</f>
        <v/>
      </c>
      <c r="M18" s="19">
        <f>J18+K18</f>
        <v/>
      </c>
      <c r="N18" s="19">
        <f>L18+M18</f>
        <v/>
      </c>
    </row>
    <row r="19">
      <c r="A19" s="3">
        <f>'Daily Data'!A18</f>
        <v/>
      </c>
      <c r="B19" s="3">
        <f>'Daily Data'!B18</f>
        <v/>
      </c>
      <c r="C19" s="3">
        <f>'Daily Data'!C18</f>
        <v/>
      </c>
      <c r="D19" s="17">
        <f>'Daily Data'!G18*'Daily Data'!C18</f>
        <v/>
      </c>
      <c r="E19" s="17">
        <f>'Daily Data'!D18*'Daily Data'!C18</f>
        <v/>
      </c>
      <c r="F19" s="17">
        <f>('Daily Data'!J18*'Daily Data'!C18)/60</f>
        <v/>
      </c>
      <c r="G19" s="17">
        <f>('Daily Data'!H18*'Daily Data'!C18)/60</f>
        <v/>
      </c>
      <c r="H19" s="18">
        <f>('Daily Data'!F18-'Daily Data'!E18)*D19</f>
        <v/>
      </c>
      <c r="I19" s="18">
        <f>(D19-E19)*'Daily Data'!E18</f>
        <v/>
      </c>
      <c r="J19" s="18">
        <f>('Daily Data'!K18-'Daily Data'!I18)*F19</f>
        <v/>
      </c>
      <c r="K19" s="18">
        <f>(F19-G19)*'Daily Data'!I18</f>
        <v/>
      </c>
      <c r="L19" s="19">
        <f>H19+I19</f>
        <v/>
      </c>
      <c r="M19" s="19">
        <f>J19+K19</f>
        <v/>
      </c>
      <c r="N19" s="19">
        <f>L19+M19</f>
        <v/>
      </c>
    </row>
    <row r="20">
      <c r="A20" s="3">
        <f>'Daily Data'!A19</f>
        <v/>
      </c>
      <c r="B20" s="3">
        <f>'Daily Data'!B19</f>
        <v/>
      </c>
      <c r="C20" s="3">
        <f>'Daily Data'!C19</f>
        <v/>
      </c>
      <c r="D20" s="17">
        <f>'Daily Data'!G19*'Daily Data'!C19</f>
        <v/>
      </c>
      <c r="E20" s="17">
        <f>'Daily Data'!D19*'Daily Data'!C19</f>
        <v/>
      </c>
      <c r="F20" s="17">
        <f>('Daily Data'!J19*'Daily Data'!C19)/60</f>
        <v/>
      </c>
      <c r="G20" s="17">
        <f>('Daily Data'!H19*'Daily Data'!C19)/60</f>
        <v/>
      </c>
      <c r="H20" s="18">
        <f>('Daily Data'!F19-'Daily Data'!E19)*D20</f>
        <v/>
      </c>
      <c r="I20" s="18">
        <f>(D20-E20)*'Daily Data'!E19</f>
        <v/>
      </c>
      <c r="J20" s="18">
        <f>('Daily Data'!K19-'Daily Data'!I19)*F20</f>
        <v/>
      </c>
      <c r="K20" s="18">
        <f>(F20-G20)*'Daily Data'!I19</f>
        <v/>
      </c>
      <c r="L20" s="19">
        <f>H20+I20</f>
        <v/>
      </c>
      <c r="M20" s="19">
        <f>J20+K20</f>
        <v/>
      </c>
      <c r="N20" s="19">
        <f>L20+M20</f>
        <v/>
      </c>
    </row>
    <row r="21">
      <c r="A21" s="3">
        <f>'Daily Data'!A20</f>
        <v/>
      </c>
      <c r="B21" s="3">
        <f>'Daily Data'!B20</f>
        <v/>
      </c>
      <c r="C21" s="3">
        <f>'Daily Data'!C20</f>
        <v/>
      </c>
      <c r="D21" s="17">
        <f>'Daily Data'!G20*'Daily Data'!C20</f>
        <v/>
      </c>
      <c r="E21" s="17">
        <f>'Daily Data'!D20*'Daily Data'!C20</f>
        <v/>
      </c>
      <c r="F21" s="17">
        <f>('Daily Data'!J20*'Daily Data'!C20)/60</f>
        <v/>
      </c>
      <c r="G21" s="17">
        <f>('Daily Data'!H20*'Daily Data'!C20)/60</f>
        <v/>
      </c>
      <c r="H21" s="18">
        <f>('Daily Data'!F20-'Daily Data'!E20)*D21</f>
        <v/>
      </c>
      <c r="I21" s="18">
        <f>(D21-E21)*'Daily Data'!E20</f>
        <v/>
      </c>
      <c r="J21" s="18">
        <f>('Daily Data'!K20-'Daily Data'!I20)*F21</f>
        <v/>
      </c>
      <c r="K21" s="18">
        <f>(F21-G21)*'Daily Data'!I20</f>
        <v/>
      </c>
      <c r="L21" s="19">
        <f>H21+I21</f>
        <v/>
      </c>
      <c r="M21" s="19">
        <f>J21+K21</f>
        <v/>
      </c>
      <c r="N21" s="19">
        <f>L21+M21</f>
        <v/>
      </c>
    </row>
    <row r="22">
      <c r="A22" s="3">
        <f>'Daily Data'!A21</f>
        <v/>
      </c>
      <c r="B22" s="3">
        <f>'Daily Data'!B21</f>
        <v/>
      </c>
      <c r="C22" s="3">
        <f>'Daily Data'!C21</f>
        <v/>
      </c>
      <c r="D22" s="17">
        <f>'Daily Data'!G21*'Daily Data'!C21</f>
        <v/>
      </c>
      <c r="E22" s="17">
        <f>'Daily Data'!D21*'Daily Data'!C21</f>
        <v/>
      </c>
      <c r="F22" s="17">
        <f>('Daily Data'!J21*'Daily Data'!C21)/60</f>
        <v/>
      </c>
      <c r="G22" s="17">
        <f>('Daily Data'!H21*'Daily Data'!C21)/60</f>
        <v/>
      </c>
      <c r="H22" s="18">
        <f>('Daily Data'!F21-'Daily Data'!E21)*D22</f>
        <v/>
      </c>
      <c r="I22" s="18">
        <f>(D22-E22)*'Daily Data'!E21</f>
        <v/>
      </c>
      <c r="J22" s="18">
        <f>('Daily Data'!K21-'Daily Data'!I21)*F22</f>
        <v/>
      </c>
      <c r="K22" s="18">
        <f>(F22-G22)*'Daily Data'!I21</f>
        <v/>
      </c>
      <c r="L22" s="19">
        <f>H22+I22</f>
        <v/>
      </c>
      <c r="M22" s="19">
        <f>J22+K22</f>
        <v/>
      </c>
      <c r="N22" s="19">
        <f>L22+M22</f>
        <v/>
      </c>
    </row>
    <row r="23">
      <c r="A23" s="3">
        <f>'Daily Data'!A22</f>
        <v/>
      </c>
      <c r="B23" s="3">
        <f>'Daily Data'!B22</f>
        <v/>
      </c>
      <c r="C23" s="3">
        <f>'Daily Data'!C22</f>
        <v/>
      </c>
      <c r="D23" s="17">
        <f>'Daily Data'!G22*'Daily Data'!C22</f>
        <v/>
      </c>
      <c r="E23" s="17">
        <f>'Daily Data'!D22*'Daily Data'!C22</f>
        <v/>
      </c>
      <c r="F23" s="17">
        <f>('Daily Data'!J22*'Daily Data'!C22)/60</f>
        <v/>
      </c>
      <c r="G23" s="17">
        <f>('Daily Data'!H22*'Daily Data'!C22)/60</f>
        <v/>
      </c>
      <c r="H23" s="18">
        <f>('Daily Data'!F22-'Daily Data'!E22)*D23</f>
        <v/>
      </c>
      <c r="I23" s="18">
        <f>(D23-E23)*'Daily Data'!E22</f>
        <v/>
      </c>
      <c r="J23" s="18">
        <f>('Daily Data'!K22-'Daily Data'!I22)*F23</f>
        <v/>
      </c>
      <c r="K23" s="18">
        <f>(F23-G23)*'Daily Data'!I22</f>
        <v/>
      </c>
      <c r="L23" s="19">
        <f>H23+I23</f>
        <v/>
      </c>
      <c r="M23" s="19">
        <f>J23+K23</f>
        <v/>
      </c>
      <c r="N23" s="19">
        <f>L23+M23</f>
        <v/>
      </c>
    </row>
    <row r="24">
      <c r="A24" s="3">
        <f>'Daily Data'!A23</f>
        <v/>
      </c>
      <c r="B24" s="3">
        <f>'Daily Data'!B23</f>
        <v/>
      </c>
      <c r="C24" s="3">
        <f>'Daily Data'!C23</f>
        <v/>
      </c>
      <c r="D24" s="17">
        <f>'Daily Data'!G23*'Daily Data'!C23</f>
        <v/>
      </c>
      <c r="E24" s="17">
        <f>'Daily Data'!D23*'Daily Data'!C23</f>
        <v/>
      </c>
      <c r="F24" s="17">
        <f>('Daily Data'!J23*'Daily Data'!C23)/60</f>
        <v/>
      </c>
      <c r="G24" s="17">
        <f>('Daily Data'!H23*'Daily Data'!C23)/60</f>
        <v/>
      </c>
      <c r="H24" s="18">
        <f>('Daily Data'!F23-'Daily Data'!E23)*D24</f>
        <v/>
      </c>
      <c r="I24" s="18">
        <f>(D24-E24)*'Daily Data'!E23</f>
        <v/>
      </c>
      <c r="J24" s="18">
        <f>('Daily Data'!K23-'Daily Data'!I23)*F24</f>
        <v/>
      </c>
      <c r="K24" s="18">
        <f>(F24-G24)*'Daily Data'!I23</f>
        <v/>
      </c>
      <c r="L24" s="19">
        <f>H24+I24</f>
        <v/>
      </c>
      <c r="M24" s="19">
        <f>J24+K24</f>
        <v/>
      </c>
      <c r="N24" s="19">
        <f>L24+M24</f>
        <v/>
      </c>
    </row>
    <row r="25">
      <c r="A25" s="3">
        <f>'Daily Data'!A24</f>
        <v/>
      </c>
      <c r="B25" s="3">
        <f>'Daily Data'!B24</f>
        <v/>
      </c>
      <c r="C25" s="3">
        <f>'Daily Data'!C24</f>
        <v/>
      </c>
      <c r="D25" s="17">
        <f>'Daily Data'!G24*'Daily Data'!C24</f>
        <v/>
      </c>
      <c r="E25" s="17">
        <f>'Daily Data'!D24*'Daily Data'!C24</f>
        <v/>
      </c>
      <c r="F25" s="17">
        <f>('Daily Data'!J24*'Daily Data'!C24)/60</f>
        <v/>
      </c>
      <c r="G25" s="17">
        <f>('Daily Data'!H24*'Daily Data'!C24)/60</f>
        <v/>
      </c>
      <c r="H25" s="18">
        <f>('Daily Data'!F24-'Daily Data'!E24)*D25</f>
        <v/>
      </c>
      <c r="I25" s="18">
        <f>(D25-E25)*'Daily Data'!E24</f>
        <v/>
      </c>
      <c r="J25" s="18">
        <f>('Daily Data'!K24-'Daily Data'!I24)*F25</f>
        <v/>
      </c>
      <c r="K25" s="18">
        <f>(F25-G25)*'Daily Data'!I24</f>
        <v/>
      </c>
      <c r="L25" s="19">
        <f>H25+I25</f>
        <v/>
      </c>
      <c r="M25" s="19">
        <f>J25+K25</f>
        <v/>
      </c>
      <c r="N25" s="19">
        <f>L25+M25</f>
        <v/>
      </c>
    </row>
    <row r="26">
      <c r="A26" s="3">
        <f>'Daily Data'!A25</f>
        <v/>
      </c>
      <c r="B26" s="3">
        <f>'Daily Data'!B25</f>
        <v/>
      </c>
      <c r="C26" s="3">
        <f>'Daily Data'!C25</f>
        <v/>
      </c>
      <c r="D26" s="17">
        <f>'Daily Data'!G25*'Daily Data'!C25</f>
        <v/>
      </c>
      <c r="E26" s="17">
        <f>'Daily Data'!D25*'Daily Data'!C25</f>
        <v/>
      </c>
      <c r="F26" s="17">
        <f>('Daily Data'!J25*'Daily Data'!C25)/60</f>
        <v/>
      </c>
      <c r="G26" s="17">
        <f>('Daily Data'!H25*'Daily Data'!C25)/60</f>
        <v/>
      </c>
      <c r="H26" s="18">
        <f>('Daily Data'!F25-'Daily Data'!E25)*D26</f>
        <v/>
      </c>
      <c r="I26" s="18">
        <f>(D26-E26)*'Daily Data'!E25</f>
        <v/>
      </c>
      <c r="J26" s="18">
        <f>('Daily Data'!K25-'Daily Data'!I25)*F26</f>
        <v/>
      </c>
      <c r="K26" s="18">
        <f>(F26-G26)*'Daily Data'!I25</f>
        <v/>
      </c>
      <c r="L26" s="19">
        <f>H26+I26</f>
        <v/>
      </c>
      <c r="M26" s="19">
        <f>J26+K26</f>
        <v/>
      </c>
      <c r="N26" s="19">
        <f>L26+M26</f>
        <v/>
      </c>
    </row>
    <row r="27">
      <c r="A27" s="3">
        <f>'Daily Data'!A26</f>
        <v/>
      </c>
      <c r="B27" s="3">
        <f>'Daily Data'!B26</f>
        <v/>
      </c>
      <c r="C27" s="3">
        <f>'Daily Data'!C26</f>
        <v/>
      </c>
      <c r="D27" s="17">
        <f>'Daily Data'!G26*'Daily Data'!C26</f>
        <v/>
      </c>
      <c r="E27" s="17">
        <f>'Daily Data'!D26*'Daily Data'!C26</f>
        <v/>
      </c>
      <c r="F27" s="17">
        <f>('Daily Data'!J26*'Daily Data'!C26)/60</f>
        <v/>
      </c>
      <c r="G27" s="17">
        <f>('Daily Data'!H26*'Daily Data'!C26)/60</f>
        <v/>
      </c>
      <c r="H27" s="18">
        <f>('Daily Data'!F26-'Daily Data'!E26)*D27</f>
        <v/>
      </c>
      <c r="I27" s="18">
        <f>(D27-E27)*'Daily Data'!E26</f>
        <v/>
      </c>
      <c r="J27" s="18">
        <f>('Daily Data'!K26-'Daily Data'!I26)*F27</f>
        <v/>
      </c>
      <c r="K27" s="18">
        <f>(F27-G27)*'Daily Data'!I26</f>
        <v/>
      </c>
      <c r="L27" s="19">
        <f>H27+I27</f>
        <v/>
      </c>
      <c r="M27" s="19">
        <f>J27+K27</f>
        <v/>
      </c>
      <c r="N27" s="19">
        <f>L27+M27</f>
        <v/>
      </c>
    </row>
    <row r="28">
      <c r="A28" s="3">
        <f>'Daily Data'!A27</f>
        <v/>
      </c>
      <c r="B28" s="3">
        <f>'Daily Data'!B27</f>
        <v/>
      </c>
      <c r="C28" s="3">
        <f>'Daily Data'!C27</f>
        <v/>
      </c>
      <c r="D28" s="17">
        <f>'Daily Data'!G27*'Daily Data'!C27</f>
        <v/>
      </c>
      <c r="E28" s="17">
        <f>'Daily Data'!D27*'Daily Data'!C27</f>
        <v/>
      </c>
      <c r="F28" s="17">
        <f>('Daily Data'!J27*'Daily Data'!C27)/60</f>
        <v/>
      </c>
      <c r="G28" s="17">
        <f>('Daily Data'!H27*'Daily Data'!C27)/60</f>
        <v/>
      </c>
      <c r="H28" s="18">
        <f>('Daily Data'!F27-'Daily Data'!E27)*D28</f>
        <v/>
      </c>
      <c r="I28" s="18">
        <f>(D28-E28)*'Daily Data'!E27</f>
        <v/>
      </c>
      <c r="J28" s="18">
        <f>('Daily Data'!K27-'Daily Data'!I27)*F28</f>
        <v/>
      </c>
      <c r="K28" s="18">
        <f>(F28-G28)*'Daily Data'!I27</f>
        <v/>
      </c>
      <c r="L28" s="19">
        <f>H28+I28</f>
        <v/>
      </c>
      <c r="M28" s="19">
        <f>J28+K28</f>
        <v/>
      </c>
      <c r="N28" s="19">
        <f>L28+M28</f>
        <v/>
      </c>
    </row>
    <row r="29">
      <c r="A29" s="3">
        <f>'Daily Data'!A28</f>
        <v/>
      </c>
      <c r="B29" s="3">
        <f>'Daily Data'!B28</f>
        <v/>
      </c>
      <c r="C29" s="3">
        <f>'Daily Data'!C28</f>
        <v/>
      </c>
      <c r="D29" s="17">
        <f>'Daily Data'!G28*'Daily Data'!C28</f>
        <v/>
      </c>
      <c r="E29" s="17">
        <f>'Daily Data'!D28*'Daily Data'!C28</f>
        <v/>
      </c>
      <c r="F29" s="17">
        <f>('Daily Data'!J28*'Daily Data'!C28)/60</f>
        <v/>
      </c>
      <c r="G29" s="17">
        <f>('Daily Data'!H28*'Daily Data'!C28)/60</f>
        <v/>
      </c>
      <c r="H29" s="18">
        <f>('Daily Data'!F28-'Daily Data'!E28)*D29</f>
        <v/>
      </c>
      <c r="I29" s="18">
        <f>(D29-E29)*'Daily Data'!E28</f>
        <v/>
      </c>
      <c r="J29" s="18">
        <f>('Daily Data'!K28-'Daily Data'!I28)*F29</f>
        <v/>
      </c>
      <c r="K29" s="18">
        <f>(F29-G29)*'Daily Data'!I28</f>
        <v/>
      </c>
      <c r="L29" s="19">
        <f>H29+I29</f>
        <v/>
      </c>
      <c r="M29" s="19">
        <f>J29+K29</f>
        <v/>
      </c>
      <c r="N29" s="19">
        <f>L29+M29</f>
        <v/>
      </c>
    </row>
    <row r="30">
      <c r="A30" s="3">
        <f>'Daily Data'!A29</f>
        <v/>
      </c>
      <c r="B30" s="3">
        <f>'Daily Data'!B29</f>
        <v/>
      </c>
      <c r="C30" s="3">
        <f>'Daily Data'!C29</f>
        <v/>
      </c>
      <c r="D30" s="17">
        <f>'Daily Data'!G29*'Daily Data'!C29</f>
        <v/>
      </c>
      <c r="E30" s="17">
        <f>'Daily Data'!D29*'Daily Data'!C29</f>
        <v/>
      </c>
      <c r="F30" s="17">
        <f>('Daily Data'!J29*'Daily Data'!C29)/60</f>
        <v/>
      </c>
      <c r="G30" s="17">
        <f>('Daily Data'!H29*'Daily Data'!C29)/60</f>
        <v/>
      </c>
      <c r="H30" s="18">
        <f>('Daily Data'!F29-'Daily Data'!E29)*D30</f>
        <v/>
      </c>
      <c r="I30" s="18">
        <f>(D30-E30)*'Daily Data'!E29</f>
        <v/>
      </c>
      <c r="J30" s="18">
        <f>('Daily Data'!K29-'Daily Data'!I29)*F30</f>
        <v/>
      </c>
      <c r="K30" s="18">
        <f>(F30-G30)*'Daily Data'!I29</f>
        <v/>
      </c>
      <c r="L30" s="19">
        <f>H30+I30</f>
        <v/>
      </c>
      <c r="M30" s="19">
        <f>J30+K30</f>
        <v/>
      </c>
      <c r="N30" s="19">
        <f>L30+M30</f>
        <v/>
      </c>
    </row>
    <row r="31">
      <c r="A31" s="3">
        <f>'Daily Data'!A30</f>
        <v/>
      </c>
      <c r="B31" s="3">
        <f>'Daily Data'!B30</f>
        <v/>
      </c>
      <c r="C31" s="3">
        <f>'Daily Data'!C30</f>
        <v/>
      </c>
      <c r="D31" s="17">
        <f>'Daily Data'!G30*'Daily Data'!C30</f>
        <v/>
      </c>
      <c r="E31" s="17">
        <f>'Daily Data'!D30*'Daily Data'!C30</f>
        <v/>
      </c>
      <c r="F31" s="17">
        <f>('Daily Data'!J30*'Daily Data'!C30)/60</f>
        <v/>
      </c>
      <c r="G31" s="17">
        <f>('Daily Data'!H30*'Daily Data'!C30)/60</f>
        <v/>
      </c>
      <c r="H31" s="18">
        <f>('Daily Data'!F30-'Daily Data'!E30)*D31</f>
        <v/>
      </c>
      <c r="I31" s="18">
        <f>(D31-E31)*'Daily Data'!E30</f>
        <v/>
      </c>
      <c r="J31" s="18">
        <f>('Daily Data'!K30-'Daily Data'!I30)*F31</f>
        <v/>
      </c>
      <c r="K31" s="18">
        <f>(F31-G31)*'Daily Data'!I30</f>
        <v/>
      </c>
      <c r="L31" s="19">
        <f>H31+I31</f>
        <v/>
      </c>
      <c r="M31" s="19">
        <f>J31+K31</f>
        <v/>
      </c>
      <c r="N31" s="19">
        <f>L31+M31</f>
        <v/>
      </c>
    </row>
    <row r="32">
      <c r="A32" s="3">
        <f>'Daily Data'!A31</f>
        <v/>
      </c>
      <c r="B32" s="3">
        <f>'Daily Data'!B31</f>
        <v/>
      </c>
      <c r="C32" s="3">
        <f>'Daily Data'!C31</f>
        <v/>
      </c>
      <c r="D32" s="17">
        <f>'Daily Data'!G31*'Daily Data'!C31</f>
        <v/>
      </c>
      <c r="E32" s="17">
        <f>'Daily Data'!D31*'Daily Data'!C31</f>
        <v/>
      </c>
      <c r="F32" s="17">
        <f>('Daily Data'!J31*'Daily Data'!C31)/60</f>
        <v/>
      </c>
      <c r="G32" s="17">
        <f>('Daily Data'!H31*'Daily Data'!C31)/60</f>
        <v/>
      </c>
      <c r="H32" s="18">
        <f>('Daily Data'!F31-'Daily Data'!E31)*D32</f>
        <v/>
      </c>
      <c r="I32" s="18">
        <f>(D32-E32)*'Daily Data'!E31</f>
        <v/>
      </c>
      <c r="J32" s="18">
        <f>('Daily Data'!K31-'Daily Data'!I31)*F32</f>
        <v/>
      </c>
      <c r="K32" s="18">
        <f>(F32-G32)*'Daily Data'!I31</f>
        <v/>
      </c>
      <c r="L32" s="19">
        <f>H32+I32</f>
        <v/>
      </c>
      <c r="M32" s="19">
        <f>J32+K32</f>
        <v/>
      </c>
      <c r="N32" s="19">
        <f>L32+M32</f>
        <v/>
      </c>
    </row>
    <row r="33">
      <c r="A33" s="3">
        <f>'Daily Data'!A32</f>
        <v/>
      </c>
      <c r="B33" s="3">
        <f>'Daily Data'!B32</f>
        <v/>
      </c>
      <c r="C33" s="3">
        <f>'Daily Data'!C32</f>
        <v/>
      </c>
      <c r="D33" s="17">
        <f>'Daily Data'!G32*'Daily Data'!C32</f>
        <v/>
      </c>
      <c r="E33" s="17">
        <f>'Daily Data'!D32*'Daily Data'!C32</f>
        <v/>
      </c>
      <c r="F33" s="17">
        <f>('Daily Data'!J32*'Daily Data'!C32)/60</f>
        <v/>
      </c>
      <c r="G33" s="17">
        <f>('Daily Data'!H32*'Daily Data'!C32)/60</f>
        <v/>
      </c>
      <c r="H33" s="18">
        <f>('Daily Data'!F32-'Daily Data'!E32)*D33</f>
        <v/>
      </c>
      <c r="I33" s="18">
        <f>(D33-E33)*'Daily Data'!E32</f>
        <v/>
      </c>
      <c r="J33" s="18">
        <f>('Daily Data'!K32-'Daily Data'!I32)*F33</f>
        <v/>
      </c>
      <c r="K33" s="18">
        <f>(F33-G33)*'Daily Data'!I32</f>
        <v/>
      </c>
      <c r="L33" s="19">
        <f>H33+I33</f>
        <v/>
      </c>
      <c r="M33" s="19">
        <f>J33+K33</f>
        <v/>
      </c>
      <c r="N33" s="19">
        <f>L33+M33</f>
        <v/>
      </c>
    </row>
    <row r="34">
      <c r="A34" s="3">
        <f>'Daily Data'!A33</f>
        <v/>
      </c>
      <c r="B34" s="3">
        <f>'Daily Data'!B33</f>
        <v/>
      </c>
      <c r="C34" s="3">
        <f>'Daily Data'!C33</f>
        <v/>
      </c>
      <c r="D34" s="17">
        <f>'Daily Data'!G33*'Daily Data'!C33</f>
        <v/>
      </c>
      <c r="E34" s="17">
        <f>'Daily Data'!D33*'Daily Data'!C33</f>
        <v/>
      </c>
      <c r="F34" s="17">
        <f>('Daily Data'!J33*'Daily Data'!C33)/60</f>
        <v/>
      </c>
      <c r="G34" s="17">
        <f>('Daily Data'!H33*'Daily Data'!C33)/60</f>
        <v/>
      </c>
      <c r="H34" s="18">
        <f>('Daily Data'!F33-'Daily Data'!E33)*D34</f>
        <v/>
      </c>
      <c r="I34" s="18">
        <f>(D34-E34)*'Daily Data'!E33</f>
        <v/>
      </c>
      <c r="J34" s="18">
        <f>('Daily Data'!K33-'Daily Data'!I33)*F34</f>
        <v/>
      </c>
      <c r="K34" s="18">
        <f>(F34-G34)*'Daily Data'!I33</f>
        <v/>
      </c>
      <c r="L34" s="19">
        <f>H34+I34</f>
        <v/>
      </c>
      <c r="M34" s="19">
        <f>J34+K34</f>
        <v/>
      </c>
      <c r="N34" s="19">
        <f>L34+M34</f>
        <v/>
      </c>
    </row>
    <row r="35">
      <c r="A35" s="3">
        <f>'Daily Data'!A34</f>
        <v/>
      </c>
      <c r="B35" s="3">
        <f>'Daily Data'!B34</f>
        <v/>
      </c>
      <c r="C35" s="3">
        <f>'Daily Data'!C34</f>
        <v/>
      </c>
      <c r="D35" s="17">
        <f>'Daily Data'!G34*'Daily Data'!C34</f>
        <v/>
      </c>
      <c r="E35" s="17">
        <f>'Daily Data'!D34*'Daily Data'!C34</f>
        <v/>
      </c>
      <c r="F35" s="17">
        <f>('Daily Data'!J34*'Daily Data'!C34)/60</f>
        <v/>
      </c>
      <c r="G35" s="17">
        <f>('Daily Data'!H34*'Daily Data'!C34)/60</f>
        <v/>
      </c>
      <c r="H35" s="18">
        <f>('Daily Data'!F34-'Daily Data'!E34)*D35</f>
        <v/>
      </c>
      <c r="I35" s="18">
        <f>(D35-E35)*'Daily Data'!E34</f>
        <v/>
      </c>
      <c r="J35" s="18">
        <f>('Daily Data'!K34-'Daily Data'!I34)*F35</f>
        <v/>
      </c>
      <c r="K35" s="18">
        <f>(F35-G35)*'Daily Data'!I34</f>
        <v/>
      </c>
      <c r="L35" s="19">
        <f>H35+I35</f>
        <v/>
      </c>
      <c r="M35" s="19">
        <f>J35+K35</f>
        <v/>
      </c>
      <c r="N35" s="19">
        <f>L35+M35</f>
        <v/>
      </c>
    </row>
    <row r="36">
      <c r="A36" s="3">
        <f>'Daily Data'!A35</f>
        <v/>
      </c>
      <c r="B36" s="3">
        <f>'Daily Data'!B35</f>
        <v/>
      </c>
      <c r="C36" s="3">
        <f>'Daily Data'!C35</f>
        <v/>
      </c>
      <c r="D36" s="17">
        <f>'Daily Data'!G35*'Daily Data'!C35</f>
        <v/>
      </c>
      <c r="E36" s="17">
        <f>'Daily Data'!D35*'Daily Data'!C35</f>
        <v/>
      </c>
      <c r="F36" s="17">
        <f>('Daily Data'!J35*'Daily Data'!C35)/60</f>
        <v/>
      </c>
      <c r="G36" s="17">
        <f>('Daily Data'!H35*'Daily Data'!C35)/60</f>
        <v/>
      </c>
      <c r="H36" s="18">
        <f>('Daily Data'!F35-'Daily Data'!E35)*D36</f>
        <v/>
      </c>
      <c r="I36" s="18">
        <f>(D36-E36)*'Daily Data'!E35</f>
        <v/>
      </c>
      <c r="J36" s="18">
        <f>('Daily Data'!K35-'Daily Data'!I35)*F36</f>
        <v/>
      </c>
      <c r="K36" s="18">
        <f>(F36-G36)*'Daily Data'!I35</f>
        <v/>
      </c>
      <c r="L36" s="19">
        <f>H36+I36</f>
        <v/>
      </c>
      <c r="M36" s="19">
        <f>J36+K36</f>
        <v/>
      </c>
      <c r="N36" s="19">
        <f>L36+M36</f>
        <v/>
      </c>
    </row>
    <row r="37">
      <c r="A37" s="3">
        <f>'Daily Data'!A36</f>
        <v/>
      </c>
      <c r="B37" s="3">
        <f>'Daily Data'!B36</f>
        <v/>
      </c>
      <c r="C37" s="3">
        <f>'Daily Data'!C36</f>
        <v/>
      </c>
      <c r="D37" s="17">
        <f>'Daily Data'!G36*'Daily Data'!C36</f>
        <v/>
      </c>
      <c r="E37" s="17">
        <f>'Daily Data'!D36*'Daily Data'!C36</f>
        <v/>
      </c>
      <c r="F37" s="17">
        <f>('Daily Data'!J36*'Daily Data'!C36)/60</f>
        <v/>
      </c>
      <c r="G37" s="17">
        <f>('Daily Data'!H36*'Daily Data'!C36)/60</f>
        <v/>
      </c>
      <c r="H37" s="18">
        <f>('Daily Data'!F36-'Daily Data'!E36)*D37</f>
        <v/>
      </c>
      <c r="I37" s="18">
        <f>(D37-E37)*'Daily Data'!E36</f>
        <v/>
      </c>
      <c r="J37" s="18">
        <f>('Daily Data'!K36-'Daily Data'!I36)*F37</f>
        <v/>
      </c>
      <c r="K37" s="18">
        <f>(F37-G37)*'Daily Data'!I36</f>
        <v/>
      </c>
      <c r="L37" s="19">
        <f>H37+I37</f>
        <v/>
      </c>
      <c r="M37" s="19">
        <f>J37+K37</f>
        <v/>
      </c>
      <c r="N37" s="19">
        <f>L37+M37</f>
        <v/>
      </c>
    </row>
    <row r="38">
      <c r="A38" s="3">
        <f>'Daily Data'!A37</f>
        <v/>
      </c>
      <c r="B38" s="3">
        <f>'Daily Data'!B37</f>
        <v/>
      </c>
      <c r="C38" s="3">
        <f>'Daily Data'!C37</f>
        <v/>
      </c>
      <c r="D38" s="17">
        <f>'Daily Data'!G37*'Daily Data'!C37</f>
        <v/>
      </c>
      <c r="E38" s="17">
        <f>'Daily Data'!D37*'Daily Data'!C37</f>
        <v/>
      </c>
      <c r="F38" s="17">
        <f>('Daily Data'!J37*'Daily Data'!C37)/60</f>
        <v/>
      </c>
      <c r="G38" s="17">
        <f>('Daily Data'!H37*'Daily Data'!C37)/60</f>
        <v/>
      </c>
      <c r="H38" s="18">
        <f>('Daily Data'!F37-'Daily Data'!E37)*D38</f>
        <v/>
      </c>
      <c r="I38" s="18">
        <f>(D38-E38)*'Daily Data'!E37</f>
        <v/>
      </c>
      <c r="J38" s="18">
        <f>('Daily Data'!K37-'Daily Data'!I37)*F38</f>
        <v/>
      </c>
      <c r="K38" s="18">
        <f>(F38-G38)*'Daily Data'!I37</f>
        <v/>
      </c>
      <c r="L38" s="19">
        <f>H38+I38</f>
        <v/>
      </c>
      <c r="M38" s="19">
        <f>J38+K38</f>
        <v/>
      </c>
      <c r="N38" s="19">
        <f>L38+M38</f>
        <v/>
      </c>
    </row>
    <row r="39">
      <c r="A39" s="3">
        <f>'Daily Data'!A38</f>
        <v/>
      </c>
      <c r="B39" s="3">
        <f>'Daily Data'!B38</f>
        <v/>
      </c>
      <c r="C39" s="3">
        <f>'Daily Data'!C38</f>
        <v/>
      </c>
      <c r="D39" s="17">
        <f>'Daily Data'!G38*'Daily Data'!C38</f>
        <v/>
      </c>
      <c r="E39" s="17">
        <f>'Daily Data'!D38*'Daily Data'!C38</f>
        <v/>
      </c>
      <c r="F39" s="17">
        <f>('Daily Data'!J38*'Daily Data'!C38)/60</f>
        <v/>
      </c>
      <c r="G39" s="17">
        <f>('Daily Data'!H38*'Daily Data'!C38)/60</f>
        <v/>
      </c>
      <c r="H39" s="18">
        <f>('Daily Data'!F38-'Daily Data'!E38)*D39</f>
        <v/>
      </c>
      <c r="I39" s="18">
        <f>(D39-E39)*'Daily Data'!E38</f>
        <v/>
      </c>
      <c r="J39" s="18">
        <f>('Daily Data'!K38-'Daily Data'!I38)*F39</f>
        <v/>
      </c>
      <c r="K39" s="18">
        <f>(F39-G39)*'Daily Data'!I38</f>
        <v/>
      </c>
      <c r="L39" s="19">
        <f>H39+I39</f>
        <v/>
      </c>
      <c r="M39" s="19">
        <f>J39+K39</f>
        <v/>
      </c>
      <c r="N39" s="19">
        <f>L39+M39</f>
        <v/>
      </c>
    </row>
    <row r="40">
      <c r="A40" s="3">
        <f>'Daily Data'!A39</f>
        <v/>
      </c>
      <c r="B40" s="3">
        <f>'Daily Data'!B39</f>
        <v/>
      </c>
      <c r="C40" s="3">
        <f>'Daily Data'!C39</f>
        <v/>
      </c>
      <c r="D40" s="17">
        <f>'Daily Data'!G39*'Daily Data'!C39</f>
        <v/>
      </c>
      <c r="E40" s="17">
        <f>'Daily Data'!D39*'Daily Data'!C39</f>
        <v/>
      </c>
      <c r="F40" s="17">
        <f>('Daily Data'!J39*'Daily Data'!C39)/60</f>
        <v/>
      </c>
      <c r="G40" s="17">
        <f>('Daily Data'!H39*'Daily Data'!C39)/60</f>
        <v/>
      </c>
      <c r="H40" s="18">
        <f>('Daily Data'!F39-'Daily Data'!E39)*D40</f>
        <v/>
      </c>
      <c r="I40" s="18">
        <f>(D40-E40)*'Daily Data'!E39</f>
        <v/>
      </c>
      <c r="J40" s="18">
        <f>('Daily Data'!K39-'Daily Data'!I39)*F40</f>
        <v/>
      </c>
      <c r="K40" s="18">
        <f>(F40-G40)*'Daily Data'!I39</f>
        <v/>
      </c>
      <c r="L40" s="19">
        <f>H40+I40</f>
        <v/>
      </c>
      <c r="M40" s="19">
        <f>J40+K40</f>
        <v/>
      </c>
      <c r="N40" s="19">
        <f>L40+M40</f>
        <v/>
      </c>
    </row>
    <row r="41">
      <c r="A41" s="3">
        <f>'Daily Data'!A40</f>
        <v/>
      </c>
      <c r="B41" s="3">
        <f>'Daily Data'!B40</f>
        <v/>
      </c>
      <c r="C41" s="3">
        <f>'Daily Data'!C40</f>
        <v/>
      </c>
      <c r="D41" s="17">
        <f>'Daily Data'!G40*'Daily Data'!C40</f>
        <v/>
      </c>
      <c r="E41" s="17">
        <f>'Daily Data'!D40*'Daily Data'!C40</f>
        <v/>
      </c>
      <c r="F41" s="17">
        <f>('Daily Data'!J40*'Daily Data'!C40)/60</f>
        <v/>
      </c>
      <c r="G41" s="17">
        <f>('Daily Data'!H40*'Daily Data'!C40)/60</f>
        <v/>
      </c>
      <c r="H41" s="18">
        <f>('Daily Data'!F40-'Daily Data'!E40)*D41</f>
        <v/>
      </c>
      <c r="I41" s="18">
        <f>(D41-E41)*'Daily Data'!E40</f>
        <v/>
      </c>
      <c r="J41" s="18">
        <f>('Daily Data'!K40-'Daily Data'!I40)*F41</f>
        <v/>
      </c>
      <c r="K41" s="18">
        <f>(F41-G41)*'Daily Data'!I40</f>
        <v/>
      </c>
      <c r="L41" s="19">
        <f>H41+I41</f>
        <v/>
      </c>
      <c r="M41" s="19">
        <f>J41+K41</f>
        <v/>
      </c>
      <c r="N41" s="19">
        <f>L41+M41</f>
        <v/>
      </c>
    </row>
    <row r="42">
      <c r="A42" s="3">
        <f>'Daily Data'!A41</f>
        <v/>
      </c>
      <c r="B42" s="3">
        <f>'Daily Data'!B41</f>
        <v/>
      </c>
      <c r="C42" s="3">
        <f>'Daily Data'!C41</f>
        <v/>
      </c>
      <c r="D42" s="17">
        <f>'Daily Data'!G41*'Daily Data'!C41</f>
        <v/>
      </c>
      <c r="E42" s="17">
        <f>'Daily Data'!D41*'Daily Data'!C41</f>
        <v/>
      </c>
      <c r="F42" s="17">
        <f>('Daily Data'!J41*'Daily Data'!C41)/60</f>
        <v/>
      </c>
      <c r="G42" s="17">
        <f>('Daily Data'!H41*'Daily Data'!C41)/60</f>
        <v/>
      </c>
      <c r="H42" s="18">
        <f>('Daily Data'!F41-'Daily Data'!E41)*D42</f>
        <v/>
      </c>
      <c r="I42" s="18">
        <f>(D42-E42)*'Daily Data'!E41</f>
        <v/>
      </c>
      <c r="J42" s="18">
        <f>('Daily Data'!K41-'Daily Data'!I41)*F42</f>
        <v/>
      </c>
      <c r="K42" s="18">
        <f>(F42-G42)*'Daily Data'!I41</f>
        <v/>
      </c>
      <c r="L42" s="19">
        <f>H42+I42</f>
        <v/>
      </c>
      <c r="M42" s="19">
        <f>J42+K42</f>
        <v/>
      </c>
      <c r="N42" s="19">
        <f>L42+M42</f>
        <v/>
      </c>
    </row>
    <row r="43">
      <c r="A43" s="3">
        <f>'Daily Data'!A42</f>
        <v/>
      </c>
      <c r="B43" s="3">
        <f>'Daily Data'!B42</f>
        <v/>
      </c>
      <c r="C43" s="3">
        <f>'Daily Data'!C42</f>
        <v/>
      </c>
      <c r="D43" s="17">
        <f>'Daily Data'!G42*'Daily Data'!C42</f>
        <v/>
      </c>
      <c r="E43" s="17">
        <f>'Daily Data'!D42*'Daily Data'!C42</f>
        <v/>
      </c>
      <c r="F43" s="17">
        <f>('Daily Data'!J42*'Daily Data'!C42)/60</f>
        <v/>
      </c>
      <c r="G43" s="17">
        <f>('Daily Data'!H42*'Daily Data'!C42)/60</f>
        <v/>
      </c>
      <c r="H43" s="18">
        <f>('Daily Data'!F42-'Daily Data'!E42)*D43</f>
        <v/>
      </c>
      <c r="I43" s="18">
        <f>(D43-E43)*'Daily Data'!E42</f>
        <v/>
      </c>
      <c r="J43" s="18">
        <f>('Daily Data'!K42-'Daily Data'!I42)*F43</f>
        <v/>
      </c>
      <c r="K43" s="18">
        <f>(F43-G43)*'Daily Data'!I42</f>
        <v/>
      </c>
      <c r="L43" s="19">
        <f>H43+I43</f>
        <v/>
      </c>
      <c r="M43" s="19">
        <f>J43+K43</f>
        <v/>
      </c>
      <c r="N43" s="19">
        <f>L43+M43</f>
        <v/>
      </c>
    </row>
    <row r="44">
      <c r="A44" s="3">
        <f>'Daily Data'!A43</f>
        <v/>
      </c>
      <c r="B44" s="3">
        <f>'Daily Data'!B43</f>
        <v/>
      </c>
      <c r="C44" s="3">
        <f>'Daily Data'!C43</f>
        <v/>
      </c>
      <c r="D44" s="17">
        <f>'Daily Data'!G43*'Daily Data'!C43</f>
        <v/>
      </c>
      <c r="E44" s="17">
        <f>'Daily Data'!D43*'Daily Data'!C43</f>
        <v/>
      </c>
      <c r="F44" s="17">
        <f>('Daily Data'!J43*'Daily Data'!C43)/60</f>
        <v/>
      </c>
      <c r="G44" s="17">
        <f>('Daily Data'!H43*'Daily Data'!C43)/60</f>
        <v/>
      </c>
      <c r="H44" s="18">
        <f>('Daily Data'!F43-'Daily Data'!E43)*D44</f>
        <v/>
      </c>
      <c r="I44" s="18">
        <f>(D44-E44)*'Daily Data'!E43</f>
        <v/>
      </c>
      <c r="J44" s="18">
        <f>('Daily Data'!K43-'Daily Data'!I43)*F44</f>
        <v/>
      </c>
      <c r="K44" s="18">
        <f>(F44-G44)*'Daily Data'!I43</f>
        <v/>
      </c>
      <c r="L44" s="19">
        <f>H44+I44</f>
        <v/>
      </c>
      <c r="M44" s="19">
        <f>J44+K44</f>
        <v/>
      </c>
      <c r="N44" s="19">
        <f>L44+M44</f>
        <v/>
      </c>
    </row>
    <row r="45">
      <c r="A45" s="3">
        <f>'Daily Data'!A44</f>
        <v/>
      </c>
      <c r="B45" s="3">
        <f>'Daily Data'!B44</f>
        <v/>
      </c>
      <c r="C45" s="3">
        <f>'Daily Data'!C44</f>
        <v/>
      </c>
      <c r="D45" s="17">
        <f>'Daily Data'!G44*'Daily Data'!C44</f>
        <v/>
      </c>
      <c r="E45" s="17">
        <f>'Daily Data'!D44*'Daily Data'!C44</f>
        <v/>
      </c>
      <c r="F45" s="17">
        <f>('Daily Data'!J44*'Daily Data'!C44)/60</f>
        <v/>
      </c>
      <c r="G45" s="17">
        <f>('Daily Data'!H44*'Daily Data'!C44)/60</f>
        <v/>
      </c>
      <c r="H45" s="18">
        <f>('Daily Data'!F44-'Daily Data'!E44)*D45</f>
        <v/>
      </c>
      <c r="I45" s="18">
        <f>(D45-E45)*'Daily Data'!E44</f>
        <v/>
      </c>
      <c r="J45" s="18">
        <f>('Daily Data'!K44-'Daily Data'!I44)*F45</f>
        <v/>
      </c>
      <c r="K45" s="18">
        <f>(F45-G45)*'Daily Data'!I44</f>
        <v/>
      </c>
      <c r="L45" s="19">
        <f>H45+I45</f>
        <v/>
      </c>
      <c r="M45" s="19">
        <f>J45+K45</f>
        <v/>
      </c>
      <c r="N45" s="19">
        <f>L45+M45</f>
        <v/>
      </c>
    </row>
    <row r="46">
      <c r="A46" s="3">
        <f>'Daily Data'!A45</f>
        <v/>
      </c>
      <c r="B46" s="3">
        <f>'Daily Data'!B45</f>
        <v/>
      </c>
      <c r="C46" s="3">
        <f>'Daily Data'!C45</f>
        <v/>
      </c>
      <c r="D46" s="17">
        <f>'Daily Data'!G45*'Daily Data'!C45</f>
        <v/>
      </c>
      <c r="E46" s="17">
        <f>'Daily Data'!D45*'Daily Data'!C45</f>
        <v/>
      </c>
      <c r="F46" s="17">
        <f>('Daily Data'!J45*'Daily Data'!C45)/60</f>
        <v/>
      </c>
      <c r="G46" s="17">
        <f>('Daily Data'!H45*'Daily Data'!C45)/60</f>
        <v/>
      </c>
      <c r="H46" s="18">
        <f>('Daily Data'!F45-'Daily Data'!E45)*D46</f>
        <v/>
      </c>
      <c r="I46" s="18">
        <f>(D46-E46)*'Daily Data'!E45</f>
        <v/>
      </c>
      <c r="J46" s="18">
        <f>('Daily Data'!K45-'Daily Data'!I45)*F46</f>
        <v/>
      </c>
      <c r="K46" s="18">
        <f>(F46-G46)*'Daily Data'!I45</f>
        <v/>
      </c>
      <c r="L46" s="19">
        <f>H46+I46</f>
        <v/>
      </c>
      <c r="M46" s="19">
        <f>J46+K46</f>
        <v/>
      </c>
      <c r="N46" s="19">
        <f>L46+M46</f>
        <v/>
      </c>
    </row>
    <row r="47">
      <c r="A47" s="3">
        <f>'Daily Data'!A46</f>
        <v/>
      </c>
      <c r="B47" s="3">
        <f>'Daily Data'!B46</f>
        <v/>
      </c>
      <c r="C47" s="3">
        <f>'Daily Data'!C46</f>
        <v/>
      </c>
      <c r="D47" s="17">
        <f>'Daily Data'!G46*'Daily Data'!C46</f>
        <v/>
      </c>
      <c r="E47" s="17">
        <f>'Daily Data'!D46*'Daily Data'!C46</f>
        <v/>
      </c>
      <c r="F47" s="17">
        <f>('Daily Data'!J46*'Daily Data'!C46)/60</f>
        <v/>
      </c>
      <c r="G47" s="17">
        <f>('Daily Data'!H46*'Daily Data'!C46)/60</f>
        <v/>
      </c>
      <c r="H47" s="18">
        <f>('Daily Data'!F46-'Daily Data'!E46)*D47</f>
        <v/>
      </c>
      <c r="I47" s="18">
        <f>(D47-E47)*'Daily Data'!E46</f>
        <v/>
      </c>
      <c r="J47" s="18">
        <f>('Daily Data'!K46-'Daily Data'!I46)*F47</f>
        <v/>
      </c>
      <c r="K47" s="18">
        <f>(F47-G47)*'Daily Data'!I46</f>
        <v/>
      </c>
      <c r="L47" s="19">
        <f>H47+I47</f>
        <v/>
      </c>
      <c r="M47" s="19">
        <f>J47+K47</f>
        <v/>
      </c>
      <c r="N47" s="19">
        <f>L47+M47</f>
        <v/>
      </c>
    </row>
    <row r="48">
      <c r="A48" s="3">
        <f>'Daily Data'!A47</f>
        <v/>
      </c>
      <c r="B48" s="3">
        <f>'Daily Data'!B47</f>
        <v/>
      </c>
      <c r="C48" s="3">
        <f>'Daily Data'!C47</f>
        <v/>
      </c>
      <c r="D48" s="17">
        <f>'Daily Data'!G47*'Daily Data'!C47</f>
        <v/>
      </c>
      <c r="E48" s="17">
        <f>'Daily Data'!D47*'Daily Data'!C47</f>
        <v/>
      </c>
      <c r="F48" s="17">
        <f>('Daily Data'!J47*'Daily Data'!C47)/60</f>
        <v/>
      </c>
      <c r="G48" s="17">
        <f>('Daily Data'!H47*'Daily Data'!C47)/60</f>
        <v/>
      </c>
      <c r="H48" s="18">
        <f>('Daily Data'!F47-'Daily Data'!E47)*D48</f>
        <v/>
      </c>
      <c r="I48" s="18">
        <f>(D48-E48)*'Daily Data'!E47</f>
        <v/>
      </c>
      <c r="J48" s="18">
        <f>('Daily Data'!K47-'Daily Data'!I47)*F48</f>
        <v/>
      </c>
      <c r="K48" s="18">
        <f>(F48-G48)*'Daily Data'!I47</f>
        <v/>
      </c>
      <c r="L48" s="19">
        <f>H48+I48</f>
        <v/>
      </c>
      <c r="M48" s="19">
        <f>J48+K48</f>
        <v/>
      </c>
      <c r="N48" s="19">
        <f>L48+M48</f>
        <v/>
      </c>
    </row>
    <row r="49">
      <c r="A49" s="3">
        <f>'Daily Data'!A48</f>
        <v/>
      </c>
      <c r="B49" s="3">
        <f>'Daily Data'!B48</f>
        <v/>
      </c>
      <c r="C49" s="3">
        <f>'Daily Data'!C48</f>
        <v/>
      </c>
      <c r="D49" s="17">
        <f>'Daily Data'!G48*'Daily Data'!C48</f>
        <v/>
      </c>
      <c r="E49" s="17">
        <f>'Daily Data'!D48*'Daily Data'!C48</f>
        <v/>
      </c>
      <c r="F49" s="17">
        <f>('Daily Data'!J48*'Daily Data'!C48)/60</f>
        <v/>
      </c>
      <c r="G49" s="17">
        <f>('Daily Data'!H48*'Daily Data'!C48)/60</f>
        <v/>
      </c>
      <c r="H49" s="18">
        <f>('Daily Data'!F48-'Daily Data'!E48)*D49</f>
        <v/>
      </c>
      <c r="I49" s="18">
        <f>(D49-E49)*'Daily Data'!E48</f>
        <v/>
      </c>
      <c r="J49" s="18">
        <f>('Daily Data'!K48-'Daily Data'!I48)*F49</f>
        <v/>
      </c>
      <c r="K49" s="18">
        <f>(F49-G49)*'Daily Data'!I48</f>
        <v/>
      </c>
      <c r="L49" s="19">
        <f>H49+I49</f>
        <v/>
      </c>
      <c r="M49" s="19">
        <f>J49+K49</f>
        <v/>
      </c>
      <c r="N49" s="19">
        <f>L49+M49</f>
        <v/>
      </c>
    </row>
    <row r="50">
      <c r="A50" s="3">
        <f>'Daily Data'!A49</f>
        <v/>
      </c>
      <c r="B50" s="3">
        <f>'Daily Data'!B49</f>
        <v/>
      </c>
      <c r="C50" s="3">
        <f>'Daily Data'!C49</f>
        <v/>
      </c>
      <c r="D50" s="17">
        <f>'Daily Data'!G49*'Daily Data'!C49</f>
        <v/>
      </c>
      <c r="E50" s="17">
        <f>'Daily Data'!D49*'Daily Data'!C49</f>
        <v/>
      </c>
      <c r="F50" s="17">
        <f>('Daily Data'!J49*'Daily Data'!C49)/60</f>
        <v/>
      </c>
      <c r="G50" s="17">
        <f>('Daily Data'!H49*'Daily Data'!C49)/60</f>
        <v/>
      </c>
      <c r="H50" s="18">
        <f>('Daily Data'!F49-'Daily Data'!E49)*D50</f>
        <v/>
      </c>
      <c r="I50" s="18">
        <f>(D50-E50)*'Daily Data'!E49</f>
        <v/>
      </c>
      <c r="J50" s="18">
        <f>('Daily Data'!K49-'Daily Data'!I49)*F50</f>
        <v/>
      </c>
      <c r="K50" s="18">
        <f>(F50-G50)*'Daily Data'!I49</f>
        <v/>
      </c>
      <c r="L50" s="19">
        <f>H50+I50</f>
        <v/>
      </c>
      <c r="M50" s="19">
        <f>J50+K50</f>
        <v/>
      </c>
      <c r="N50" s="19">
        <f>L50+M50</f>
        <v/>
      </c>
    </row>
    <row r="51">
      <c r="A51" s="3">
        <f>'Daily Data'!A50</f>
        <v/>
      </c>
      <c r="B51" s="3">
        <f>'Daily Data'!B50</f>
        <v/>
      </c>
      <c r="C51" s="3">
        <f>'Daily Data'!C50</f>
        <v/>
      </c>
      <c r="D51" s="17">
        <f>'Daily Data'!G50*'Daily Data'!C50</f>
        <v/>
      </c>
      <c r="E51" s="17">
        <f>'Daily Data'!D50*'Daily Data'!C50</f>
        <v/>
      </c>
      <c r="F51" s="17">
        <f>('Daily Data'!J50*'Daily Data'!C50)/60</f>
        <v/>
      </c>
      <c r="G51" s="17">
        <f>('Daily Data'!H50*'Daily Data'!C50)/60</f>
        <v/>
      </c>
      <c r="H51" s="18">
        <f>('Daily Data'!F50-'Daily Data'!E50)*D51</f>
        <v/>
      </c>
      <c r="I51" s="18">
        <f>(D51-E51)*'Daily Data'!E50</f>
        <v/>
      </c>
      <c r="J51" s="18">
        <f>('Daily Data'!K50-'Daily Data'!I50)*F51</f>
        <v/>
      </c>
      <c r="K51" s="18">
        <f>(F51-G51)*'Daily Data'!I50</f>
        <v/>
      </c>
      <c r="L51" s="19">
        <f>H51+I51</f>
        <v/>
      </c>
      <c r="M51" s="19">
        <f>J51+K51</f>
        <v/>
      </c>
      <c r="N51" s="19">
        <f>L51+M51</f>
        <v/>
      </c>
    </row>
    <row r="52">
      <c r="A52" s="3">
        <f>'Daily Data'!A51</f>
        <v/>
      </c>
      <c r="B52" s="3">
        <f>'Daily Data'!B51</f>
        <v/>
      </c>
      <c r="C52" s="3">
        <f>'Daily Data'!C51</f>
        <v/>
      </c>
      <c r="D52" s="17">
        <f>'Daily Data'!G51*'Daily Data'!C51</f>
        <v/>
      </c>
      <c r="E52" s="17">
        <f>'Daily Data'!D51*'Daily Data'!C51</f>
        <v/>
      </c>
      <c r="F52" s="17">
        <f>('Daily Data'!J51*'Daily Data'!C51)/60</f>
        <v/>
      </c>
      <c r="G52" s="17">
        <f>('Daily Data'!H51*'Daily Data'!C51)/60</f>
        <v/>
      </c>
      <c r="H52" s="18">
        <f>('Daily Data'!F51-'Daily Data'!E51)*D52</f>
        <v/>
      </c>
      <c r="I52" s="18">
        <f>(D52-E52)*'Daily Data'!E51</f>
        <v/>
      </c>
      <c r="J52" s="18">
        <f>('Daily Data'!K51-'Daily Data'!I51)*F52</f>
        <v/>
      </c>
      <c r="K52" s="18">
        <f>(F52-G52)*'Daily Data'!I51</f>
        <v/>
      </c>
      <c r="L52" s="19">
        <f>H52+I52</f>
        <v/>
      </c>
      <c r="M52" s="19">
        <f>J52+K52</f>
        <v/>
      </c>
      <c r="N52" s="19">
        <f>L52+M52</f>
        <v/>
      </c>
    </row>
    <row r="53">
      <c r="A53" s="3">
        <f>'Daily Data'!A52</f>
        <v/>
      </c>
      <c r="B53" s="3">
        <f>'Daily Data'!B52</f>
        <v/>
      </c>
      <c r="C53" s="3">
        <f>'Daily Data'!C52</f>
        <v/>
      </c>
      <c r="D53" s="17">
        <f>'Daily Data'!G52*'Daily Data'!C52</f>
        <v/>
      </c>
      <c r="E53" s="17">
        <f>'Daily Data'!D52*'Daily Data'!C52</f>
        <v/>
      </c>
      <c r="F53" s="17">
        <f>('Daily Data'!J52*'Daily Data'!C52)/60</f>
        <v/>
      </c>
      <c r="G53" s="17">
        <f>('Daily Data'!H52*'Daily Data'!C52)/60</f>
        <v/>
      </c>
      <c r="H53" s="18">
        <f>('Daily Data'!F52-'Daily Data'!E52)*D53</f>
        <v/>
      </c>
      <c r="I53" s="18">
        <f>(D53-E53)*'Daily Data'!E52</f>
        <v/>
      </c>
      <c r="J53" s="18">
        <f>('Daily Data'!K52-'Daily Data'!I52)*F53</f>
        <v/>
      </c>
      <c r="K53" s="18">
        <f>(F53-G53)*'Daily Data'!I52</f>
        <v/>
      </c>
      <c r="L53" s="19">
        <f>H53+I53</f>
        <v/>
      </c>
      <c r="M53" s="19">
        <f>J53+K53</f>
        <v/>
      </c>
      <c r="N53" s="19">
        <f>L53+M53</f>
        <v/>
      </c>
    </row>
    <row r="54">
      <c r="A54" s="3">
        <f>'Daily Data'!A53</f>
        <v/>
      </c>
      <c r="B54" s="3">
        <f>'Daily Data'!B53</f>
        <v/>
      </c>
      <c r="C54" s="3">
        <f>'Daily Data'!C53</f>
        <v/>
      </c>
      <c r="D54" s="17">
        <f>'Daily Data'!G53*'Daily Data'!C53</f>
        <v/>
      </c>
      <c r="E54" s="17">
        <f>'Daily Data'!D53*'Daily Data'!C53</f>
        <v/>
      </c>
      <c r="F54" s="17">
        <f>('Daily Data'!J53*'Daily Data'!C53)/60</f>
        <v/>
      </c>
      <c r="G54" s="17">
        <f>('Daily Data'!H53*'Daily Data'!C53)/60</f>
        <v/>
      </c>
      <c r="H54" s="18">
        <f>('Daily Data'!F53-'Daily Data'!E53)*D54</f>
        <v/>
      </c>
      <c r="I54" s="18">
        <f>(D54-E54)*'Daily Data'!E53</f>
        <v/>
      </c>
      <c r="J54" s="18">
        <f>('Daily Data'!K53-'Daily Data'!I53)*F54</f>
        <v/>
      </c>
      <c r="K54" s="18">
        <f>(F54-G54)*'Daily Data'!I53</f>
        <v/>
      </c>
      <c r="L54" s="19">
        <f>H54+I54</f>
        <v/>
      </c>
      <c r="M54" s="19">
        <f>J54+K54</f>
        <v/>
      </c>
      <c r="N54" s="19">
        <f>L54+M54</f>
        <v/>
      </c>
    </row>
    <row r="55">
      <c r="A55" s="3">
        <f>'Daily Data'!A54</f>
        <v/>
      </c>
      <c r="B55" s="3">
        <f>'Daily Data'!B54</f>
        <v/>
      </c>
      <c r="C55" s="3">
        <f>'Daily Data'!C54</f>
        <v/>
      </c>
      <c r="D55" s="17">
        <f>'Daily Data'!G54*'Daily Data'!C54</f>
        <v/>
      </c>
      <c r="E55" s="17">
        <f>'Daily Data'!D54*'Daily Data'!C54</f>
        <v/>
      </c>
      <c r="F55" s="17">
        <f>('Daily Data'!J54*'Daily Data'!C54)/60</f>
        <v/>
      </c>
      <c r="G55" s="17">
        <f>('Daily Data'!H54*'Daily Data'!C54)/60</f>
        <v/>
      </c>
      <c r="H55" s="18">
        <f>('Daily Data'!F54-'Daily Data'!E54)*D55</f>
        <v/>
      </c>
      <c r="I55" s="18">
        <f>(D55-E55)*'Daily Data'!E54</f>
        <v/>
      </c>
      <c r="J55" s="18">
        <f>('Daily Data'!K54-'Daily Data'!I54)*F55</f>
        <v/>
      </c>
      <c r="K55" s="18">
        <f>(F55-G55)*'Daily Data'!I54</f>
        <v/>
      </c>
      <c r="L55" s="19">
        <f>H55+I55</f>
        <v/>
      </c>
      <c r="M55" s="19">
        <f>J55+K55</f>
        <v/>
      </c>
      <c r="N55" s="19">
        <f>L55+M55</f>
        <v/>
      </c>
    </row>
    <row r="56">
      <c r="A56" s="3">
        <f>'Daily Data'!A55</f>
        <v/>
      </c>
      <c r="B56" s="3">
        <f>'Daily Data'!B55</f>
        <v/>
      </c>
      <c r="C56" s="3">
        <f>'Daily Data'!C55</f>
        <v/>
      </c>
      <c r="D56" s="17">
        <f>'Daily Data'!G55*'Daily Data'!C55</f>
        <v/>
      </c>
      <c r="E56" s="17">
        <f>'Daily Data'!D55*'Daily Data'!C55</f>
        <v/>
      </c>
      <c r="F56" s="17">
        <f>('Daily Data'!J55*'Daily Data'!C55)/60</f>
        <v/>
      </c>
      <c r="G56" s="17">
        <f>('Daily Data'!H55*'Daily Data'!C55)/60</f>
        <v/>
      </c>
      <c r="H56" s="18">
        <f>('Daily Data'!F55-'Daily Data'!E55)*D56</f>
        <v/>
      </c>
      <c r="I56" s="18">
        <f>(D56-E56)*'Daily Data'!E55</f>
        <v/>
      </c>
      <c r="J56" s="18">
        <f>('Daily Data'!K55-'Daily Data'!I55)*F56</f>
        <v/>
      </c>
      <c r="K56" s="18">
        <f>(F56-G56)*'Daily Data'!I55</f>
        <v/>
      </c>
      <c r="L56" s="19">
        <f>H56+I56</f>
        <v/>
      </c>
      <c r="M56" s="19">
        <f>J56+K56</f>
        <v/>
      </c>
      <c r="N56" s="19">
        <f>L56+M56</f>
        <v/>
      </c>
    </row>
    <row r="57">
      <c r="A57" s="3">
        <f>'Daily Data'!A56</f>
        <v/>
      </c>
      <c r="B57" s="3">
        <f>'Daily Data'!B56</f>
        <v/>
      </c>
      <c r="C57" s="3">
        <f>'Daily Data'!C56</f>
        <v/>
      </c>
      <c r="D57" s="17">
        <f>'Daily Data'!G56*'Daily Data'!C56</f>
        <v/>
      </c>
      <c r="E57" s="17">
        <f>'Daily Data'!D56*'Daily Data'!C56</f>
        <v/>
      </c>
      <c r="F57" s="17">
        <f>('Daily Data'!J56*'Daily Data'!C56)/60</f>
        <v/>
      </c>
      <c r="G57" s="17">
        <f>('Daily Data'!H56*'Daily Data'!C56)/60</f>
        <v/>
      </c>
      <c r="H57" s="18">
        <f>('Daily Data'!F56-'Daily Data'!E56)*D57</f>
        <v/>
      </c>
      <c r="I57" s="18">
        <f>(D57-E57)*'Daily Data'!E56</f>
        <v/>
      </c>
      <c r="J57" s="18">
        <f>('Daily Data'!K56-'Daily Data'!I56)*F57</f>
        <v/>
      </c>
      <c r="K57" s="18">
        <f>(F57-G57)*'Daily Data'!I56</f>
        <v/>
      </c>
      <c r="L57" s="19">
        <f>H57+I57</f>
        <v/>
      </c>
      <c r="M57" s="19">
        <f>J57+K57</f>
        <v/>
      </c>
      <c r="N57" s="19">
        <f>L57+M57</f>
        <v/>
      </c>
    </row>
    <row r="58">
      <c r="A58" s="3">
        <f>'Daily Data'!A57</f>
        <v/>
      </c>
      <c r="B58" s="3">
        <f>'Daily Data'!B57</f>
        <v/>
      </c>
      <c r="C58" s="3">
        <f>'Daily Data'!C57</f>
        <v/>
      </c>
      <c r="D58" s="17">
        <f>'Daily Data'!G57*'Daily Data'!C57</f>
        <v/>
      </c>
      <c r="E58" s="17">
        <f>'Daily Data'!D57*'Daily Data'!C57</f>
        <v/>
      </c>
      <c r="F58" s="17">
        <f>('Daily Data'!J57*'Daily Data'!C57)/60</f>
        <v/>
      </c>
      <c r="G58" s="17">
        <f>('Daily Data'!H57*'Daily Data'!C57)/60</f>
        <v/>
      </c>
      <c r="H58" s="18">
        <f>('Daily Data'!F57-'Daily Data'!E57)*D58</f>
        <v/>
      </c>
      <c r="I58" s="18">
        <f>(D58-E58)*'Daily Data'!E57</f>
        <v/>
      </c>
      <c r="J58" s="18">
        <f>('Daily Data'!K57-'Daily Data'!I57)*F58</f>
        <v/>
      </c>
      <c r="K58" s="18">
        <f>(F58-G58)*'Daily Data'!I57</f>
        <v/>
      </c>
      <c r="L58" s="19">
        <f>H58+I58</f>
        <v/>
      </c>
      <c r="M58" s="19">
        <f>J58+K58</f>
        <v/>
      </c>
      <c r="N58" s="19">
        <f>L58+M58</f>
        <v/>
      </c>
    </row>
    <row r="59">
      <c r="A59" s="3">
        <f>'Daily Data'!A58</f>
        <v/>
      </c>
      <c r="B59" s="3">
        <f>'Daily Data'!B58</f>
        <v/>
      </c>
      <c r="C59" s="3">
        <f>'Daily Data'!C58</f>
        <v/>
      </c>
      <c r="D59" s="17">
        <f>'Daily Data'!G58*'Daily Data'!C58</f>
        <v/>
      </c>
      <c r="E59" s="17">
        <f>'Daily Data'!D58*'Daily Data'!C58</f>
        <v/>
      </c>
      <c r="F59" s="17">
        <f>('Daily Data'!J58*'Daily Data'!C58)/60</f>
        <v/>
      </c>
      <c r="G59" s="17">
        <f>('Daily Data'!H58*'Daily Data'!C58)/60</f>
        <v/>
      </c>
      <c r="H59" s="18">
        <f>('Daily Data'!F58-'Daily Data'!E58)*D59</f>
        <v/>
      </c>
      <c r="I59" s="18">
        <f>(D59-E59)*'Daily Data'!E58</f>
        <v/>
      </c>
      <c r="J59" s="18">
        <f>('Daily Data'!K58-'Daily Data'!I58)*F59</f>
        <v/>
      </c>
      <c r="K59" s="18">
        <f>(F59-G59)*'Daily Data'!I58</f>
        <v/>
      </c>
      <c r="L59" s="19">
        <f>H59+I59</f>
        <v/>
      </c>
      <c r="M59" s="19">
        <f>J59+K59</f>
        <v/>
      </c>
      <c r="N59" s="19">
        <f>L59+M59</f>
        <v/>
      </c>
    </row>
    <row r="60">
      <c r="A60" s="3">
        <f>'Daily Data'!A59</f>
        <v/>
      </c>
      <c r="B60" s="3">
        <f>'Daily Data'!B59</f>
        <v/>
      </c>
      <c r="C60" s="3">
        <f>'Daily Data'!C59</f>
        <v/>
      </c>
      <c r="D60" s="17">
        <f>'Daily Data'!G59*'Daily Data'!C59</f>
        <v/>
      </c>
      <c r="E60" s="17">
        <f>'Daily Data'!D59*'Daily Data'!C59</f>
        <v/>
      </c>
      <c r="F60" s="17">
        <f>('Daily Data'!J59*'Daily Data'!C59)/60</f>
        <v/>
      </c>
      <c r="G60" s="17">
        <f>('Daily Data'!H59*'Daily Data'!C59)/60</f>
        <v/>
      </c>
      <c r="H60" s="18">
        <f>('Daily Data'!F59-'Daily Data'!E59)*D60</f>
        <v/>
      </c>
      <c r="I60" s="18">
        <f>(D60-E60)*'Daily Data'!E59</f>
        <v/>
      </c>
      <c r="J60" s="18">
        <f>('Daily Data'!K59-'Daily Data'!I59)*F60</f>
        <v/>
      </c>
      <c r="K60" s="18">
        <f>(F60-G60)*'Daily Data'!I59</f>
        <v/>
      </c>
      <c r="L60" s="19">
        <f>H60+I60</f>
        <v/>
      </c>
      <c r="M60" s="19">
        <f>J60+K60</f>
        <v/>
      </c>
      <c r="N60" s="19">
        <f>L60+M60</f>
        <v/>
      </c>
    </row>
    <row r="61">
      <c r="A61" s="3">
        <f>'Daily Data'!A60</f>
        <v/>
      </c>
      <c r="B61" s="3">
        <f>'Daily Data'!B60</f>
        <v/>
      </c>
      <c r="C61" s="3">
        <f>'Daily Data'!C60</f>
        <v/>
      </c>
      <c r="D61" s="17">
        <f>'Daily Data'!G60*'Daily Data'!C60</f>
        <v/>
      </c>
      <c r="E61" s="17">
        <f>'Daily Data'!D60*'Daily Data'!C60</f>
        <v/>
      </c>
      <c r="F61" s="17">
        <f>('Daily Data'!J60*'Daily Data'!C60)/60</f>
        <v/>
      </c>
      <c r="G61" s="17">
        <f>('Daily Data'!H60*'Daily Data'!C60)/60</f>
        <v/>
      </c>
      <c r="H61" s="18">
        <f>('Daily Data'!F60-'Daily Data'!E60)*D61</f>
        <v/>
      </c>
      <c r="I61" s="18">
        <f>(D61-E61)*'Daily Data'!E60</f>
        <v/>
      </c>
      <c r="J61" s="18">
        <f>('Daily Data'!K60-'Daily Data'!I60)*F61</f>
        <v/>
      </c>
      <c r="K61" s="18">
        <f>(F61-G61)*'Daily Data'!I60</f>
        <v/>
      </c>
      <c r="L61" s="19">
        <f>H61+I61</f>
        <v/>
      </c>
      <c r="M61" s="19">
        <f>J61+K61</f>
        <v/>
      </c>
      <c r="N61" s="19">
        <f>L61+M61</f>
        <v/>
      </c>
    </row>
    <row r="62">
      <c r="A62" s="3">
        <f>'Daily Data'!A61</f>
        <v/>
      </c>
      <c r="B62" s="3">
        <f>'Daily Data'!B61</f>
        <v/>
      </c>
      <c r="C62" s="3">
        <f>'Daily Data'!C61</f>
        <v/>
      </c>
      <c r="D62" s="17">
        <f>'Daily Data'!G61*'Daily Data'!C61</f>
        <v/>
      </c>
      <c r="E62" s="17">
        <f>'Daily Data'!D61*'Daily Data'!C61</f>
        <v/>
      </c>
      <c r="F62" s="17">
        <f>('Daily Data'!J61*'Daily Data'!C61)/60</f>
        <v/>
      </c>
      <c r="G62" s="17">
        <f>('Daily Data'!H61*'Daily Data'!C61)/60</f>
        <v/>
      </c>
      <c r="H62" s="18">
        <f>('Daily Data'!F61-'Daily Data'!E61)*D62</f>
        <v/>
      </c>
      <c r="I62" s="18">
        <f>(D62-E62)*'Daily Data'!E61</f>
        <v/>
      </c>
      <c r="J62" s="18">
        <f>('Daily Data'!K61-'Daily Data'!I61)*F62</f>
        <v/>
      </c>
      <c r="K62" s="18">
        <f>(F62-G62)*'Daily Data'!I61</f>
        <v/>
      </c>
      <c r="L62" s="19">
        <f>H62+I62</f>
        <v/>
      </c>
      <c r="M62" s="19">
        <f>J62+K62</f>
        <v/>
      </c>
      <c r="N62" s="19">
        <f>L62+M62</f>
        <v/>
      </c>
    </row>
    <row r="63">
      <c r="A63" s="3">
        <f>'Daily Data'!A62</f>
        <v/>
      </c>
      <c r="B63" s="3">
        <f>'Daily Data'!B62</f>
        <v/>
      </c>
      <c r="C63" s="3">
        <f>'Daily Data'!C62</f>
        <v/>
      </c>
      <c r="D63" s="17">
        <f>'Daily Data'!G62*'Daily Data'!C62</f>
        <v/>
      </c>
      <c r="E63" s="17">
        <f>'Daily Data'!D62*'Daily Data'!C62</f>
        <v/>
      </c>
      <c r="F63" s="17">
        <f>('Daily Data'!J62*'Daily Data'!C62)/60</f>
        <v/>
      </c>
      <c r="G63" s="17">
        <f>('Daily Data'!H62*'Daily Data'!C62)/60</f>
        <v/>
      </c>
      <c r="H63" s="18">
        <f>('Daily Data'!F62-'Daily Data'!E62)*D63</f>
        <v/>
      </c>
      <c r="I63" s="18">
        <f>(D63-E63)*'Daily Data'!E62</f>
        <v/>
      </c>
      <c r="J63" s="18">
        <f>('Daily Data'!K62-'Daily Data'!I62)*F63</f>
        <v/>
      </c>
      <c r="K63" s="18">
        <f>(F63-G63)*'Daily Data'!I62</f>
        <v/>
      </c>
      <c r="L63" s="19">
        <f>H63+I63</f>
        <v/>
      </c>
      <c r="M63" s="19">
        <f>J63+K63</f>
        <v/>
      </c>
      <c r="N63" s="19">
        <f>L63+M63</f>
        <v/>
      </c>
    </row>
    <row r="64">
      <c r="A64" s="3">
        <f>'Daily Data'!A63</f>
        <v/>
      </c>
      <c r="B64" s="3">
        <f>'Daily Data'!B63</f>
        <v/>
      </c>
      <c r="C64" s="3">
        <f>'Daily Data'!C63</f>
        <v/>
      </c>
      <c r="D64" s="17">
        <f>'Daily Data'!G63*'Daily Data'!C63</f>
        <v/>
      </c>
      <c r="E64" s="17">
        <f>'Daily Data'!D63*'Daily Data'!C63</f>
        <v/>
      </c>
      <c r="F64" s="17">
        <f>('Daily Data'!J63*'Daily Data'!C63)/60</f>
        <v/>
      </c>
      <c r="G64" s="17">
        <f>('Daily Data'!H63*'Daily Data'!C63)/60</f>
        <v/>
      </c>
      <c r="H64" s="18">
        <f>('Daily Data'!F63-'Daily Data'!E63)*D64</f>
        <v/>
      </c>
      <c r="I64" s="18">
        <f>(D64-E64)*'Daily Data'!E63</f>
        <v/>
      </c>
      <c r="J64" s="18">
        <f>('Daily Data'!K63-'Daily Data'!I63)*F64</f>
        <v/>
      </c>
      <c r="K64" s="18">
        <f>(F64-G64)*'Daily Data'!I63</f>
        <v/>
      </c>
      <c r="L64" s="19">
        <f>H64+I64</f>
        <v/>
      </c>
      <c r="M64" s="19">
        <f>J64+K64</f>
        <v/>
      </c>
      <c r="N64" s="19">
        <f>L64+M64</f>
        <v/>
      </c>
    </row>
    <row r="65">
      <c r="A65" s="3">
        <f>'Daily Data'!A64</f>
        <v/>
      </c>
      <c r="B65" s="3">
        <f>'Daily Data'!B64</f>
        <v/>
      </c>
      <c r="C65" s="3">
        <f>'Daily Data'!C64</f>
        <v/>
      </c>
      <c r="D65" s="17">
        <f>'Daily Data'!G64*'Daily Data'!C64</f>
        <v/>
      </c>
      <c r="E65" s="17">
        <f>'Daily Data'!D64*'Daily Data'!C64</f>
        <v/>
      </c>
      <c r="F65" s="17">
        <f>('Daily Data'!J64*'Daily Data'!C64)/60</f>
        <v/>
      </c>
      <c r="G65" s="17">
        <f>('Daily Data'!H64*'Daily Data'!C64)/60</f>
        <v/>
      </c>
      <c r="H65" s="18">
        <f>('Daily Data'!F64-'Daily Data'!E64)*D65</f>
        <v/>
      </c>
      <c r="I65" s="18">
        <f>(D65-E65)*'Daily Data'!E64</f>
        <v/>
      </c>
      <c r="J65" s="18">
        <f>('Daily Data'!K64-'Daily Data'!I64)*F65</f>
        <v/>
      </c>
      <c r="K65" s="18">
        <f>(F65-G65)*'Daily Data'!I64</f>
        <v/>
      </c>
      <c r="L65" s="19">
        <f>H65+I65</f>
        <v/>
      </c>
      <c r="M65" s="19">
        <f>J65+K65</f>
        <v/>
      </c>
      <c r="N65" s="19">
        <f>L65+M65</f>
        <v/>
      </c>
    </row>
    <row r="66">
      <c r="A66" s="3">
        <f>'Daily Data'!A65</f>
        <v/>
      </c>
      <c r="B66" s="3">
        <f>'Daily Data'!B65</f>
        <v/>
      </c>
      <c r="C66" s="3">
        <f>'Daily Data'!C65</f>
        <v/>
      </c>
      <c r="D66" s="17">
        <f>'Daily Data'!G65*'Daily Data'!C65</f>
        <v/>
      </c>
      <c r="E66" s="17">
        <f>'Daily Data'!D65*'Daily Data'!C65</f>
        <v/>
      </c>
      <c r="F66" s="17">
        <f>('Daily Data'!J65*'Daily Data'!C65)/60</f>
        <v/>
      </c>
      <c r="G66" s="17">
        <f>('Daily Data'!H65*'Daily Data'!C65)/60</f>
        <v/>
      </c>
      <c r="H66" s="18">
        <f>('Daily Data'!F65-'Daily Data'!E65)*D66</f>
        <v/>
      </c>
      <c r="I66" s="18">
        <f>(D66-E66)*'Daily Data'!E65</f>
        <v/>
      </c>
      <c r="J66" s="18">
        <f>('Daily Data'!K65-'Daily Data'!I65)*F66</f>
        <v/>
      </c>
      <c r="K66" s="18">
        <f>(F66-G66)*'Daily Data'!I65</f>
        <v/>
      </c>
      <c r="L66" s="19">
        <f>H66+I66</f>
        <v/>
      </c>
      <c r="M66" s="19">
        <f>J66+K66</f>
        <v/>
      </c>
      <c r="N66" s="19">
        <f>L66+M66</f>
        <v/>
      </c>
    </row>
    <row r="67">
      <c r="A67" s="3">
        <f>'Daily Data'!A66</f>
        <v/>
      </c>
      <c r="B67" s="3">
        <f>'Daily Data'!B66</f>
        <v/>
      </c>
      <c r="C67" s="3">
        <f>'Daily Data'!C66</f>
        <v/>
      </c>
      <c r="D67" s="17">
        <f>'Daily Data'!G66*'Daily Data'!C66</f>
        <v/>
      </c>
      <c r="E67" s="17">
        <f>'Daily Data'!D66*'Daily Data'!C66</f>
        <v/>
      </c>
      <c r="F67" s="17">
        <f>('Daily Data'!J66*'Daily Data'!C66)/60</f>
        <v/>
      </c>
      <c r="G67" s="17">
        <f>('Daily Data'!H66*'Daily Data'!C66)/60</f>
        <v/>
      </c>
      <c r="H67" s="18">
        <f>('Daily Data'!F66-'Daily Data'!E66)*D67</f>
        <v/>
      </c>
      <c r="I67" s="18">
        <f>(D67-E67)*'Daily Data'!E66</f>
        <v/>
      </c>
      <c r="J67" s="18">
        <f>('Daily Data'!K66-'Daily Data'!I66)*F67</f>
        <v/>
      </c>
      <c r="K67" s="18">
        <f>(F67-G67)*'Daily Data'!I66</f>
        <v/>
      </c>
      <c r="L67" s="19">
        <f>H67+I67</f>
        <v/>
      </c>
      <c r="M67" s="19">
        <f>J67+K67</f>
        <v/>
      </c>
      <c r="N67" s="19">
        <f>L67+M67</f>
        <v/>
      </c>
    </row>
    <row r="68">
      <c r="A68" s="3">
        <f>'Daily Data'!A67</f>
        <v/>
      </c>
      <c r="B68" s="3">
        <f>'Daily Data'!B67</f>
        <v/>
      </c>
      <c r="C68" s="3">
        <f>'Daily Data'!C67</f>
        <v/>
      </c>
      <c r="D68" s="17">
        <f>'Daily Data'!G67*'Daily Data'!C67</f>
        <v/>
      </c>
      <c r="E68" s="17">
        <f>'Daily Data'!D67*'Daily Data'!C67</f>
        <v/>
      </c>
      <c r="F68" s="17">
        <f>('Daily Data'!J67*'Daily Data'!C67)/60</f>
        <v/>
      </c>
      <c r="G68" s="17">
        <f>('Daily Data'!H67*'Daily Data'!C67)/60</f>
        <v/>
      </c>
      <c r="H68" s="18">
        <f>('Daily Data'!F67-'Daily Data'!E67)*D68</f>
        <v/>
      </c>
      <c r="I68" s="18">
        <f>(D68-E68)*'Daily Data'!E67</f>
        <v/>
      </c>
      <c r="J68" s="18">
        <f>('Daily Data'!K67-'Daily Data'!I67)*F68</f>
        <v/>
      </c>
      <c r="K68" s="18">
        <f>(F68-G68)*'Daily Data'!I67</f>
        <v/>
      </c>
      <c r="L68" s="19">
        <f>H68+I68</f>
        <v/>
      </c>
      <c r="M68" s="19">
        <f>J68+K68</f>
        <v/>
      </c>
      <c r="N68" s="19">
        <f>L68+M68</f>
        <v/>
      </c>
    </row>
    <row r="69">
      <c r="A69" s="3">
        <f>'Daily Data'!A68</f>
        <v/>
      </c>
      <c r="B69" s="3">
        <f>'Daily Data'!B68</f>
        <v/>
      </c>
      <c r="C69" s="3">
        <f>'Daily Data'!C68</f>
        <v/>
      </c>
      <c r="D69" s="17">
        <f>'Daily Data'!G68*'Daily Data'!C68</f>
        <v/>
      </c>
      <c r="E69" s="17">
        <f>'Daily Data'!D68*'Daily Data'!C68</f>
        <v/>
      </c>
      <c r="F69" s="17">
        <f>('Daily Data'!J68*'Daily Data'!C68)/60</f>
        <v/>
      </c>
      <c r="G69" s="17">
        <f>('Daily Data'!H68*'Daily Data'!C68)/60</f>
        <v/>
      </c>
      <c r="H69" s="18">
        <f>('Daily Data'!F68-'Daily Data'!E68)*D69</f>
        <v/>
      </c>
      <c r="I69" s="18">
        <f>(D69-E69)*'Daily Data'!E68</f>
        <v/>
      </c>
      <c r="J69" s="18">
        <f>('Daily Data'!K68-'Daily Data'!I68)*F69</f>
        <v/>
      </c>
      <c r="K69" s="18">
        <f>(F69-G69)*'Daily Data'!I68</f>
        <v/>
      </c>
      <c r="L69" s="19">
        <f>H69+I69</f>
        <v/>
      </c>
      <c r="M69" s="19">
        <f>J69+K69</f>
        <v/>
      </c>
      <c r="N69" s="19">
        <f>L69+M69</f>
        <v/>
      </c>
    </row>
    <row r="70">
      <c r="A70" s="3">
        <f>'Daily Data'!A69</f>
        <v/>
      </c>
      <c r="B70" s="3">
        <f>'Daily Data'!B69</f>
        <v/>
      </c>
      <c r="C70" s="3">
        <f>'Daily Data'!C69</f>
        <v/>
      </c>
      <c r="D70" s="17">
        <f>'Daily Data'!G69*'Daily Data'!C69</f>
        <v/>
      </c>
      <c r="E70" s="17">
        <f>'Daily Data'!D69*'Daily Data'!C69</f>
        <v/>
      </c>
      <c r="F70" s="17">
        <f>('Daily Data'!J69*'Daily Data'!C69)/60</f>
        <v/>
      </c>
      <c r="G70" s="17">
        <f>('Daily Data'!H69*'Daily Data'!C69)/60</f>
        <v/>
      </c>
      <c r="H70" s="18">
        <f>('Daily Data'!F69-'Daily Data'!E69)*D70</f>
        <v/>
      </c>
      <c r="I70" s="18">
        <f>(D70-E70)*'Daily Data'!E69</f>
        <v/>
      </c>
      <c r="J70" s="18">
        <f>('Daily Data'!K69-'Daily Data'!I69)*F70</f>
        <v/>
      </c>
      <c r="K70" s="18">
        <f>(F70-G70)*'Daily Data'!I69</f>
        <v/>
      </c>
      <c r="L70" s="19">
        <f>H70+I70</f>
        <v/>
      </c>
      <c r="M70" s="19">
        <f>J70+K70</f>
        <v/>
      </c>
      <c r="N70" s="19">
        <f>L70+M70</f>
        <v/>
      </c>
    </row>
    <row r="71">
      <c r="A71" s="3">
        <f>'Daily Data'!A70</f>
        <v/>
      </c>
      <c r="B71" s="3">
        <f>'Daily Data'!B70</f>
        <v/>
      </c>
      <c r="C71" s="3">
        <f>'Daily Data'!C70</f>
        <v/>
      </c>
      <c r="D71" s="17">
        <f>'Daily Data'!G70*'Daily Data'!C70</f>
        <v/>
      </c>
      <c r="E71" s="17">
        <f>'Daily Data'!D70*'Daily Data'!C70</f>
        <v/>
      </c>
      <c r="F71" s="17">
        <f>('Daily Data'!J70*'Daily Data'!C70)/60</f>
        <v/>
      </c>
      <c r="G71" s="17">
        <f>('Daily Data'!H70*'Daily Data'!C70)/60</f>
        <v/>
      </c>
      <c r="H71" s="18">
        <f>('Daily Data'!F70-'Daily Data'!E70)*D71</f>
        <v/>
      </c>
      <c r="I71" s="18">
        <f>(D71-E71)*'Daily Data'!E70</f>
        <v/>
      </c>
      <c r="J71" s="18">
        <f>('Daily Data'!K70-'Daily Data'!I70)*F71</f>
        <v/>
      </c>
      <c r="K71" s="18">
        <f>(F71-G71)*'Daily Data'!I70</f>
        <v/>
      </c>
      <c r="L71" s="19">
        <f>H71+I71</f>
        <v/>
      </c>
      <c r="M71" s="19">
        <f>J71+K71</f>
        <v/>
      </c>
      <c r="N71" s="19">
        <f>L71+M71</f>
        <v/>
      </c>
    </row>
    <row r="72">
      <c r="A72" s="3">
        <f>'Daily Data'!A71</f>
        <v/>
      </c>
      <c r="B72" s="3">
        <f>'Daily Data'!B71</f>
        <v/>
      </c>
      <c r="C72" s="3">
        <f>'Daily Data'!C71</f>
        <v/>
      </c>
      <c r="D72" s="17">
        <f>'Daily Data'!G71*'Daily Data'!C71</f>
        <v/>
      </c>
      <c r="E72" s="17">
        <f>'Daily Data'!D71*'Daily Data'!C71</f>
        <v/>
      </c>
      <c r="F72" s="17">
        <f>('Daily Data'!J71*'Daily Data'!C71)/60</f>
        <v/>
      </c>
      <c r="G72" s="17">
        <f>('Daily Data'!H71*'Daily Data'!C71)/60</f>
        <v/>
      </c>
      <c r="H72" s="18">
        <f>('Daily Data'!F71-'Daily Data'!E71)*D72</f>
        <v/>
      </c>
      <c r="I72" s="18">
        <f>(D72-E72)*'Daily Data'!E71</f>
        <v/>
      </c>
      <c r="J72" s="18">
        <f>('Daily Data'!K71-'Daily Data'!I71)*F72</f>
        <v/>
      </c>
      <c r="K72" s="18">
        <f>(F72-G72)*'Daily Data'!I71</f>
        <v/>
      </c>
      <c r="L72" s="19">
        <f>H72+I72</f>
        <v/>
      </c>
      <c r="M72" s="19">
        <f>J72+K72</f>
        <v/>
      </c>
      <c r="N72" s="19">
        <f>L72+M72</f>
        <v/>
      </c>
    </row>
    <row r="73">
      <c r="A73" s="3">
        <f>'Daily Data'!A72</f>
        <v/>
      </c>
      <c r="B73" s="3">
        <f>'Daily Data'!B72</f>
        <v/>
      </c>
      <c r="C73" s="3">
        <f>'Daily Data'!C72</f>
        <v/>
      </c>
      <c r="D73" s="17">
        <f>'Daily Data'!G72*'Daily Data'!C72</f>
        <v/>
      </c>
      <c r="E73" s="17">
        <f>'Daily Data'!D72*'Daily Data'!C72</f>
        <v/>
      </c>
      <c r="F73" s="17">
        <f>('Daily Data'!J72*'Daily Data'!C72)/60</f>
        <v/>
      </c>
      <c r="G73" s="17">
        <f>('Daily Data'!H72*'Daily Data'!C72)/60</f>
        <v/>
      </c>
      <c r="H73" s="18">
        <f>('Daily Data'!F72-'Daily Data'!E72)*D73</f>
        <v/>
      </c>
      <c r="I73" s="18">
        <f>(D73-E73)*'Daily Data'!E72</f>
        <v/>
      </c>
      <c r="J73" s="18">
        <f>('Daily Data'!K72-'Daily Data'!I72)*F73</f>
        <v/>
      </c>
      <c r="K73" s="18">
        <f>(F73-G73)*'Daily Data'!I72</f>
        <v/>
      </c>
      <c r="L73" s="19">
        <f>H73+I73</f>
        <v/>
      </c>
      <c r="M73" s="19">
        <f>J73+K73</f>
        <v/>
      </c>
      <c r="N73" s="19">
        <f>L73+M73</f>
        <v/>
      </c>
    </row>
    <row r="74">
      <c r="A74" s="3">
        <f>'Daily Data'!A73</f>
        <v/>
      </c>
      <c r="B74" s="3">
        <f>'Daily Data'!B73</f>
        <v/>
      </c>
      <c r="C74" s="3">
        <f>'Daily Data'!C73</f>
        <v/>
      </c>
      <c r="D74" s="17">
        <f>'Daily Data'!G73*'Daily Data'!C73</f>
        <v/>
      </c>
      <c r="E74" s="17">
        <f>'Daily Data'!D73*'Daily Data'!C73</f>
        <v/>
      </c>
      <c r="F74" s="17">
        <f>('Daily Data'!J73*'Daily Data'!C73)/60</f>
        <v/>
      </c>
      <c r="G74" s="17">
        <f>('Daily Data'!H73*'Daily Data'!C73)/60</f>
        <v/>
      </c>
      <c r="H74" s="18">
        <f>('Daily Data'!F73-'Daily Data'!E73)*D74</f>
        <v/>
      </c>
      <c r="I74" s="18">
        <f>(D74-E74)*'Daily Data'!E73</f>
        <v/>
      </c>
      <c r="J74" s="18">
        <f>('Daily Data'!K73-'Daily Data'!I73)*F74</f>
        <v/>
      </c>
      <c r="K74" s="18">
        <f>(F74-G74)*'Daily Data'!I73</f>
        <v/>
      </c>
      <c r="L74" s="19">
        <f>H74+I74</f>
        <v/>
      </c>
      <c r="M74" s="19">
        <f>J74+K74</f>
        <v/>
      </c>
      <c r="N74" s="19">
        <f>L74+M74</f>
        <v/>
      </c>
    </row>
    <row r="75">
      <c r="A75" s="3">
        <f>'Daily Data'!A74</f>
        <v/>
      </c>
      <c r="B75" s="3">
        <f>'Daily Data'!B74</f>
        <v/>
      </c>
      <c r="C75" s="3">
        <f>'Daily Data'!C74</f>
        <v/>
      </c>
      <c r="D75" s="17">
        <f>'Daily Data'!G74*'Daily Data'!C74</f>
        <v/>
      </c>
      <c r="E75" s="17">
        <f>'Daily Data'!D74*'Daily Data'!C74</f>
        <v/>
      </c>
      <c r="F75" s="17">
        <f>('Daily Data'!J74*'Daily Data'!C74)/60</f>
        <v/>
      </c>
      <c r="G75" s="17">
        <f>('Daily Data'!H74*'Daily Data'!C74)/60</f>
        <v/>
      </c>
      <c r="H75" s="18">
        <f>('Daily Data'!F74-'Daily Data'!E74)*D75</f>
        <v/>
      </c>
      <c r="I75" s="18">
        <f>(D75-E75)*'Daily Data'!E74</f>
        <v/>
      </c>
      <c r="J75" s="18">
        <f>('Daily Data'!K74-'Daily Data'!I74)*F75</f>
        <v/>
      </c>
      <c r="K75" s="18">
        <f>(F75-G75)*'Daily Data'!I74</f>
        <v/>
      </c>
      <c r="L75" s="19">
        <f>H75+I75</f>
        <v/>
      </c>
      <c r="M75" s="19">
        <f>J75+K75</f>
        <v/>
      </c>
      <c r="N75" s="19">
        <f>L75+M75</f>
        <v/>
      </c>
    </row>
    <row r="76">
      <c r="A76" s="3">
        <f>'Daily Data'!A75</f>
        <v/>
      </c>
      <c r="B76" s="3">
        <f>'Daily Data'!B75</f>
        <v/>
      </c>
      <c r="C76" s="3">
        <f>'Daily Data'!C75</f>
        <v/>
      </c>
      <c r="D76" s="17">
        <f>'Daily Data'!G75*'Daily Data'!C75</f>
        <v/>
      </c>
      <c r="E76" s="17">
        <f>'Daily Data'!D75*'Daily Data'!C75</f>
        <v/>
      </c>
      <c r="F76" s="17">
        <f>('Daily Data'!J75*'Daily Data'!C75)/60</f>
        <v/>
      </c>
      <c r="G76" s="17">
        <f>('Daily Data'!H75*'Daily Data'!C75)/60</f>
        <v/>
      </c>
      <c r="H76" s="18">
        <f>('Daily Data'!F75-'Daily Data'!E75)*D76</f>
        <v/>
      </c>
      <c r="I76" s="18">
        <f>(D76-E76)*'Daily Data'!E75</f>
        <v/>
      </c>
      <c r="J76" s="18">
        <f>('Daily Data'!K75-'Daily Data'!I75)*F76</f>
        <v/>
      </c>
      <c r="K76" s="18">
        <f>(F76-G76)*'Daily Data'!I75</f>
        <v/>
      </c>
      <c r="L76" s="19">
        <f>H76+I76</f>
        <v/>
      </c>
      <c r="M76" s="19">
        <f>J76+K76</f>
        <v/>
      </c>
      <c r="N76" s="19">
        <f>L76+M76</f>
        <v/>
      </c>
    </row>
    <row r="77">
      <c r="A77" s="3">
        <f>'Daily Data'!A76</f>
        <v/>
      </c>
      <c r="B77" s="3">
        <f>'Daily Data'!B76</f>
        <v/>
      </c>
      <c r="C77" s="3">
        <f>'Daily Data'!C76</f>
        <v/>
      </c>
      <c r="D77" s="17">
        <f>'Daily Data'!G76*'Daily Data'!C76</f>
        <v/>
      </c>
      <c r="E77" s="17">
        <f>'Daily Data'!D76*'Daily Data'!C76</f>
        <v/>
      </c>
      <c r="F77" s="17">
        <f>('Daily Data'!J76*'Daily Data'!C76)/60</f>
        <v/>
      </c>
      <c r="G77" s="17">
        <f>('Daily Data'!H76*'Daily Data'!C76)/60</f>
        <v/>
      </c>
      <c r="H77" s="18">
        <f>('Daily Data'!F76-'Daily Data'!E76)*D77</f>
        <v/>
      </c>
      <c r="I77" s="18">
        <f>(D77-E77)*'Daily Data'!E76</f>
        <v/>
      </c>
      <c r="J77" s="18">
        <f>('Daily Data'!K76-'Daily Data'!I76)*F77</f>
        <v/>
      </c>
      <c r="K77" s="18">
        <f>(F77-G77)*'Daily Data'!I76</f>
        <v/>
      </c>
      <c r="L77" s="19">
        <f>H77+I77</f>
        <v/>
      </c>
      <c r="M77" s="19">
        <f>J77+K77</f>
        <v/>
      </c>
      <c r="N77" s="19">
        <f>L77+M77</f>
        <v/>
      </c>
    </row>
    <row r="78">
      <c r="A78" s="3">
        <f>'Daily Data'!A77</f>
        <v/>
      </c>
      <c r="B78" s="3">
        <f>'Daily Data'!B77</f>
        <v/>
      </c>
      <c r="C78" s="3">
        <f>'Daily Data'!C77</f>
        <v/>
      </c>
      <c r="D78" s="17">
        <f>'Daily Data'!G77*'Daily Data'!C77</f>
        <v/>
      </c>
      <c r="E78" s="17">
        <f>'Daily Data'!D77*'Daily Data'!C77</f>
        <v/>
      </c>
      <c r="F78" s="17">
        <f>('Daily Data'!J77*'Daily Data'!C77)/60</f>
        <v/>
      </c>
      <c r="G78" s="17">
        <f>('Daily Data'!H77*'Daily Data'!C77)/60</f>
        <v/>
      </c>
      <c r="H78" s="18">
        <f>('Daily Data'!F77-'Daily Data'!E77)*D78</f>
        <v/>
      </c>
      <c r="I78" s="18">
        <f>(D78-E78)*'Daily Data'!E77</f>
        <v/>
      </c>
      <c r="J78" s="18">
        <f>('Daily Data'!K77-'Daily Data'!I77)*F78</f>
        <v/>
      </c>
      <c r="K78" s="18">
        <f>(F78-G78)*'Daily Data'!I77</f>
        <v/>
      </c>
      <c r="L78" s="19">
        <f>H78+I78</f>
        <v/>
      </c>
      <c r="M78" s="19">
        <f>J78+K78</f>
        <v/>
      </c>
      <c r="N78" s="19">
        <f>L78+M78</f>
        <v/>
      </c>
    </row>
    <row r="79">
      <c r="A79" s="3">
        <f>'Daily Data'!A78</f>
        <v/>
      </c>
      <c r="B79" s="3">
        <f>'Daily Data'!B78</f>
        <v/>
      </c>
      <c r="C79" s="3">
        <f>'Daily Data'!C78</f>
        <v/>
      </c>
      <c r="D79" s="17">
        <f>'Daily Data'!G78*'Daily Data'!C78</f>
        <v/>
      </c>
      <c r="E79" s="17">
        <f>'Daily Data'!D78*'Daily Data'!C78</f>
        <v/>
      </c>
      <c r="F79" s="17">
        <f>('Daily Data'!J78*'Daily Data'!C78)/60</f>
        <v/>
      </c>
      <c r="G79" s="17">
        <f>('Daily Data'!H78*'Daily Data'!C78)/60</f>
        <v/>
      </c>
      <c r="H79" s="18">
        <f>('Daily Data'!F78-'Daily Data'!E78)*D79</f>
        <v/>
      </c>
      <c r="I79" s="18">
        <f>(D79-E79)*'Daily Data'!E78</f>
        <v/>
      </c>
      <c r="J79" s="18">
        <f>('Daily Data'!K78-'Daily Data'!I78)*F79</f>
        <v/>
      </c>
      <c r="K79" s="18">
        <f>(F79-G79)*'Daily Data'!I78</f>
        <v/>
      </c>
      <c r="L79" s="19">
        <f>H79+I79</f>
        <v/>
      </c>
      <c r="M79" s="19">
        <f>J79+K79</f>
        <v/>
      </c>
      <c r="N79" s="19">
        <f>L79+M79</f>
        <v/>
      </c>
    </row>
    <row r="80">
      <c r="A80" s="3">
        <f>'Daily Data'!A79</f>
        <v/>
      </c>
      <c r="B80" s="3">
        <f>'Daily Data'!B79</f>
        <v/>
      </c>
      <c r="C80" s="3">
        <f>'Daily Data'!C79</f>
        <v/>
      </c>
      <c r="D80" s="17">
        <f>'Daily Data'!G79*'Daily Data'!C79</f>
        <v/>
      </c>
      <c r="E80" s="17">
        <f>'Daily Data'!D79*'Daily Data'!C79</f>
        <v/>
      </c>
      <c r="F80" s="17">
        <f>('Daily Data'!J79*'Daily Data'!C79)/60</f>
        <v/>
      </c>
      <c r="G80" s="17">
        <f>('Daily Data'!H79*'Daily Data'!C79)/60</f>
        <v/>
      </c>
      <c r="H80" s="18">
        <f>('Daily Data'!F79-'Daily Data'!E79)*D80</f>
        <v/>
      </c>
      <c r="I80" s="18">
        <f>(D80-E80)*'Daily Data'!E79</f>
        <v/>
      </c>
      <c r="J80" s="18">
        <f>('Daily Data'!K79-'Daily Data'!I79)*F80</f>
        <v/>
      </c>
      <c r="K80" s="18">
        <f>(F80-G80)*'Daily Data'!I79</f>
        <v/>
      </c>
      <c r="L80" s="19">
        <f>H80+I80</f>
        <v/>
      </c>
      <c r="M80" s="19">
        <f>J80+K80</f>
        <v/>
      </c>
      <c r="N80" s="19">
        <f>L80+M80</f>
        <v/>
      </c>
    </row>
    <row r="81">
      <c r="A81" s="3">
        <f>'Daily Data'!A80</f>
        <v/>
      </c>
      <c r="B81" s="3">
        <f>'Daily Data'!B80</f>
        <v/>
      </c>
      <c r="C81" s="3">
        <f>'Daily Data'!C80</f>
        <v/>
      </c>
      <c r="D81" s="17">
        <f>'Daily Data'!G80*'Daily Data'!C80</f>
        <v/>
      </c>
      <c r="E81" s="17">
        <f>'Daily Data'!D80*'Daily Data'!C80</f>
        <v/>
      </c>
      <c r="F81" s="17">
        <f>('Daily Data'!J80*'Daily Data'!C80)/60</f>
        <v/>
      </c>
      <c r="G81" s="17">
        <f>('Daily Data'!H80*'Daily Data'!C80)/60</f>
        <v/>
      </c>
      <c r="H81" s="18">
        <f>('Daily Data'!F80-'Daily Data'!E80)*D81</f>
        <v/>
      </c>
      <c r="I81" s="18">
        <f>(D81-E81)*'Daily Data'!E80</f>
        <v/>
      </c>
      <c r="J81" s="18">
        <f>('Daily Data'!K80-'Daily Data'!I80)*F81</f>
        <v/>
      </c>
      <c r="K81" s="18">
        <f>(F81-G81)*'Daily Data'!I80</f>
        <v/>
      </c>
      <c r="L81" s="19">
        <f>H81+I81</f>
        <v/>
      </c>
      <c r="M81" s="19">
        <f>J81+K81</f>
        <v/>
      </c>
      <c r="N81" s="19">
        <f>L81+M81</f>
        <v/>
      </c>
    </row>
    <row r="82">
      <c r="A82" s="3">
        <f>'Daily Data'!A81</f>
        <v/>
      </c>
      <c r="B82" s="3">
        <f>'Daily Data'!B81</f>
        <v/>
      </c>
      <c r="C82" s="3">
        <f>'Daily Data'!C81</f>
        <v/>
      </c>
      <c r="D82" s="17">
        <f>'Daily Data'!G81*'Daily Data'!C81</f>
        <v/>
      </c>
      <c r="E82" s="17">
        <f>'Daily Data'!D81*'Daily Data'!C81</f>
        <v/>
      </c>
      <c r="F82" s="17">
        <f>('Daily Data'!J81*'Daily Data'!C81)/60</f>
        <v/>
      </c>
      <c r="G82" s="17">
        <f>('Daily Data'!H81*'Daily Data'!C81)/60</f>
        <v/>
      </c>
      <c r="H82" s="18">
        <f>('Daily Data'!F81-'Daily Data'!E81)*D82</f>
        <v/>
      </c>
      <c r="I82" s="18">
        <f>(D82-E82)*'Daily Data'!E81</f>
        <v/>
      </c>
      <c r="J82" s="18">
        <f>('Daily Data'!K81-'Daily Data'!I81)*F82</f>
        <v/>
      </c>
      <c r="K82" s="18">
        <f>(F82-G82)*'Daily Data'!I81</f>
        <v/>
      </c>
      <c r="L82" s="19">
        <f>H82+I82</f>
        <v/>
      </c>
      <c r="M82" s="19">
        <f>J82+K82</f>
        <v/>
      </c>
      <c r="N82" s="19">
        <f>L82+M82</f>
        <v/>
      </c>
    </row>
    <row r="83">
      <c r="A83" s="3">
        <f>'Daily Data'!A82</f>
        <v/>
      </c>
      <c r="B83" s="3">
        <f>'Daily Data'!B82</f>
        <v/>
      </c>
      <c r="C83" s="3">
        <f>'Daily Data'!C82</f>
        <v/>
      </c>
      <c r="D83" s="17">
        <f>'Daily Data'!G82*'Daily Data'!C82</f>
        <v/>
      </c>
      <c r="E83" s="17">
        <f>'Daily Data'!D82*'Daily Data'!C82</f>
        <v/>
      </c>
      <c r="F83" s="17">
        <f>('Daily Data'!J82*'Daily Data'!C82)/60</f>
        <v/>
      </c>
      <c r="G83" s="17">
        <f>('Daily Data'!H82*'Daily Data'!C82)/60</f>
        <v/>
      </c>
      <c r="H83" s="18">
        <f>('Daily Data'!F82-'Daily Data'!E82)*D83</f>
        <v/>
      </c>
      <c r="I83" s="18">
        <f>(D83-E83)*'Daily Data'!E82</f>
        <v/>
      </c>
      <c r="J83" s="18">
        <f>('Daily Data'!K82-'Daily Data'!I82)*F83</f>
        <v/>
      </c>
      <c r="K83" s="18">
        <f>(F83-G83)*'Daily Data'!I82</f>
        <v/>
      </c>
      <c r="L83" s="19">
        <f>H83+I83</f>
        <v/>
      </c>
      <c r="M83" s="19">
        <f>J83+K83</f>
        <v/>
      </c>
      <c r="N83" s="19">
        <f>L83+M83</f>
        <v/>
      </c>
    </row>
    <row r="84">
      <c r="A84" s="3">
        <f>'Daily Data'!A83</f>
        <v/>
      </c>
      <c r="B84" s="3">
        <f>'Daily Data'!B83</f>
        <v/>
      </c>
      <c r="C84" s="3">
        <f>'Daily Data'!C83</f>
        <v/>
      </c>
      <c r="D84" s="17">
        <f>'Daily Data'!G83*'Daily Data'!C83</f>
        <v/>
      </c>
      <c r="E84" s="17">
        <f>'Daily Data'!D83*'Daily Data'!C83</f>
        <v/>
      </c>
      <c r="F84" s="17">
        <f>('Daily Data'!J83*'Daily Data'!C83)/60</f>
        <v/>
      </c>
      <c r="G84" s="17">
        <f>('Daily Data'!H83*'Daily Data'!C83)/60</f>
        <v/>
      </c>
      <c r="H84" s="18">
        <f>('Daily Data'!F83-'Daily Data'!E83)*D84</f>
        <v/>
      </c>
      <c r="I84" s="18">
        <f>(D84-E84)*'Daily Data'!E83</f>
        <v/>
      </c>
      <c r="J84" s="18">
        <f>('Daily Data'!K83-'Daily Data'!I83)*F84</f>
        <v/>
      </c>
      <c r="K84" s="18">
        <f>(F84-G84)*'Daily Data'!I83</f>
        <v/>
      </c>
      <c r="L84" s="19">
        <f>H84+I84</f>
        <v/>
      </c>
      <c r="M84" s="19">
        <f>J84+K84</f>
        <v/>
      </c>
      <c r="N84" s="19">
        <f>L84+M84</f>
        <v/>
      </c>
    </row>
    <row r="85">
      <c r="A85" s="3">
        <f>'Daily Data'!A84</f>
        <v/>
      </c>
      <c r="B85" s="3">
        <f>'Daily Data'!B84</f>
        <v/>
      </c>
      <c r="C85" s="3">
        <f>'Daily Data'!C84</f>
        <v/>
      </c>
      <c r="D85" s="17">
        <f>'Daily Data'!G84*'Daily Data'!C84</f>
        <v/>
      </c>
      <c r="E85" s="17">
        <f>'Daily Data'!D84*'Daily Data'!C84</f>
        <v/>
      </c>
      <c r="F85" s="17">
        <f>('Daily Data'!J84*'Daily Data'!C84)/60</f>
        <v/>
      </c>
      <c r="G85" s="17">
        <f>('Daily Data'!H84*'Daily Data'!C84)/60</f>
        <v/>
      </c>
      <c r="H85" s="18">
        <f>('Daily Data'!F84-'Daily Data'!E84)*D85</f>
        <v/>
      </c>
      <c r="I85" s="18">
        <f>(D85-E85)*'Daily Data'!E84</f>
        <v/>
      </c>
      <c r="J85" s="18">
        <f>('Daily Data'!K84-'Daily Data'!I84)*F85</f>
        <v/>
      </c>
      <c r="K85" s="18">
        <f>(F85-G85)*'Daily Data'!I84</f>
        <v/>
      </c>
      <c r="L85" s="19">
        <f>H85+I85</f>
        <v/>
      </c>
      <c r="M85" s="19">
        <f>J85+K85</f>
        <v/>
      </c>
      <c r="N85" s="19">
        <f>L85+M85</f>
        <v/>
      </c>
    </row>
    <row r="86">
      <c r="A86" s="3">
        <f>'Daily Data'!A85</f>
        <v/>
      </c>
      <c r="B86" s="3">
        <f>'Daily Data'!B85</f>
        <v/>
      </c>
      <c r="C86" s="3">
        <f>'Daily Data'!C85</f>
        <v/>
      </c>
      <c r="D86" s="17">
        <f>'Daily Data'!G85*'Daily Data'!C85</f>
        <v/>
      </c>
      <c r="E86" s="17">
        <f>'Daily Data'!D85*'Daily Data'!C85</f>
        <v/>
      </c>
      <c r="F86" s="17">
        <f>('Daily Data'!J85*'Daily Data'!C85)/60</f>
        <v/>
      </c>
      <c r="G86" s="17">
        <f>('Daily Data'!H85*'Daily Data'!C85)/60</f>
        <v/>
      </c>
      <c r="H86" s="18">
        <f>('Daily Data'!F85-'Daily Data'!E85)*D86</f>
        <v/>
      </c>
      <c r="I86" s="18">
        <f>(D86-E86)*'Daily Data'!E85</f>
        <v/>
      </c>
      <c r="J86" s="18">
        <f>('Daily Data'!K85-'Daily Data'!I85)*F86</f>
        <v/>
      </c>
      <c r="K86" s="18">
        <f>(F86-G86)*'Daily Data'!I85</f>
        <v/>
      </c>
      <c r="L86" s="19">
        <f>H86+I86</f>
        <v/>
      </c>
      <c r="M86" s="19">
        <f>J86+K86</f>
        <v/>
      </c>
      <c r="N86" s="19">
        <f>L86+M86</f>
        <v/>
      </c>
    </row>
    <row r="87">
      <c r="A87" s="3">
        <f>'Daily Data'!A86</f>
        <v/>
      </c>
      <c r="B87" s="3">
        <f>'Daily Data'!B86</f>
        <v/>
      </c>
      <c r="C87" s="3">
        <f>'Daily Data'!C86</f>
        <v/>
      </c>
      <c r="D87" s="17">
        <f>'Daily Data'!G86*'Daily Data'!C86</f>
        <v/>
      </c>
      <c r="E87" s="17">
        <f>'Daily Data'!D86*'Daily Data'!C86</f>
        <v/>
      </c>
      <c r="F87" s="17">
        <f>('Daily Data'!J86*'Daily Data'!C86)/60</f>
        <v/>
      </c>
      <c r="G87" s="17">
        <f>('Daily Data'!H86*'Daily Data'!C86)/60</f>
        <v/>
      </c>
      <c r="H87" s="18">
        <f>('Daily Data'!F86-'Daily Data'!E86)*D87</f>
        <v/>
      </c>
      <c r="I87" s="18">
        <f>(D87-E87)*'Daily Data'!E86</f>
        <v/>
      </c>
      <c r="J87" s="18">
        <f>('Daily Data'!K86-'Daily Data'!I86)*F87</f>
        <v/>
      </c>
      <c r="K87" s="18">
        <f>(F87-G87)*'Daily Data'!I86</f>
        <v/>
      </c>
      <c r="L87" s="19">
        <f>H87+I87</f>
        <v/>
      </c>
      <c r="M87" s="19">
        <f>J87+K87</f>
        <v/>
      </c>
      <c r="N87" s="19">
        <f>L87+M87</f>
        <v/>
      </c>
    </row>
    <row r="88">
      <c r="A88" s="3">
        <f>'Daily Data'!A87</f>
        <v/>
      </c>
      <c r="B88" s="3">
        <f>'Daily Data'!B87</f>
        <v/>
      </c>
      <c r="C88" s="3">
        <f>'Daily Data'!C87</f>
        <v/>
      </c>
      <c r="D88" s="17">
        <f>'Daily Data'!G87*'Daily Data'!C87</f>
        <v/>
      </c>
      <c r="E88" s="17">
        <f>'Daily Data'!D87*'Daily Data'!C87</f>
        <v/>
      </c>
      <c r="F88" s="17">
        <f>('Daily Data'!J87*'Daily Data'!C87)/60</f>
        <v/>
      </c>
      <c r="G88" s="17">
        <f>('Daily Data'!H87*'Daily Data'!C87)/60</f>
        <v/>
      </c>
      <c r="H88" s="18">
        <f>('Daily Data'!F87-'Daily Data'!E87)*D88</f>
        <v/>
      </c>
      <c r="I88" s="18">
        <f>(D88-E88)*'Daily Data'!E87</f>
        <v/>
      </c>
      <c r="J88" s="18">
        <f>('Daily Data'!K87-'Daily Data'!I87)*F88</f>
        <v/>
      </c>
      <c r="K88" s="18">
        <f>(F88-G88)*'Daily Data'!I87</f>
        <v/>
      </c>
      <c r="L88" s="19">
        <f>H88+I88</f>
        <v/>
      </c>
      <c r="M88" s="19">
        <f>J88+K88</f>
        <v/>
      </c>
      <c r="N88" s="19">
        <f>L88+M88</f>
        <v/>
      </c>
    </row>
    <row r="89">
      <c r="A89" s="3">
        <f>'Daily Data'!A88</f>
        <v/>
      </c>
      <c r="B89" s="3">
        <f>'Daily Data'!B88</f>
        <v/>
      </c>
      <c r="C89" s="3">
        <f>'Daily Data'!C88</f>
        <v/>
      </c>
      <c r="D89" s="17">
        <f>'Daily Data'!G88*'Daily Data'!C88</f>
        <v/>
      </c>
      <c r="E89" s="17">
        <f>'Daily Data'!D88*'Daily Data'!C88</f>
        <v/>
      </c>
      <c r="F89" s="17">
        <f>('Daily Data'!J88*'Daily Data'!C88)/60</f>
        <v/>
      </c>
      <c r="G89" s="17">
        <f>('Daily Data'!H88*'Daily Data'!C88)/60</f>
        <v/>
      </c>
      <c r="H89" s="18">
        <f>('Daily Data'!F88-'Daily Data'!E88)*D89</f>
        <v/>
      </c>
      <c r="I89" s="18">
        <f>(D89-E89)*'Daily Data'!E88</f>
        <v/>
      </c>
      <c r="J89" s="18">
        <f>('Daily Data'!K88-'Daily Data'!I88)*F89</f>
        <v/>
      </c>
      <c r="K89" s="18">
        <f>(F89-G89)*'Daily Data'!I88</f>
        <v/>
      </c>
      <c r="L89" s="19">
        <f>H89+I89</f>
        <v/>
      </c>
      <c r="M89" s="19">
        <f>J89+K89</f>
        <v/>
      </c>
      <c r="N89" s="19">
        <f>L89+M89</f>
        <v/>
      </c>
    </row>
    <row r="90">
      <c r="A90" s="3">
        <f>'Daily Data'!A89</f>
        <v/>
      </c>
      <c r="B90" s="3">
        <f>'Daily Data'!B89</f>
        <v/>
      </c>
      <c r="C90" s="3">
        <f>'Daily Data'!C89</f>
        <v/>
      </c>
      <c r="D90" s="17">
        <f>'Daily Data'!G89*'Daily Data'!C89</f>
        <v/>
      </c>
      <c r="E90" s="17">
        <f>'Daily Data'!D89*'Daily Data'!C89</f>
        <v/>
      </c>
      <c r="F90" s="17">
        <f>('Daily Data'!J89*'Daily Data'!C89)/60</f>
        <v/>
      </c>
      <c r="G90" s="17">
        <f>('Daily Data'!H89*'Daily Data'!C89)/60</f>
        <v/>
      </c>
      <c r="H90" s="18">
        <f>('Daily Data'!F89-'Daily Data'!E89)*D90</f>
        <v/>
      </c>
      <c r="I90" s="18">
        <f>(D90-E90)*'Daily Data'!E89</f>
        <v/>
      </c>
      <c r="J90" s="18">
        <f>('Daily Data'!K89-'Daily Data'!I89)*F90</f>
        <v/>
      </c>
      <c r="K90" s="18">
        <f>(F90-G90)*'Daily Data'!I89</f>
        <v/>
      </c>
      <c r="L90" s="19">
        <f>H90+I90</f>
        <v/>
      </c>
      <c r="M90" s="19">
        <f>J90+K90</f>
        <v/>
      </c>
      <c r="N90" s="19">
        <f>L90+M90</f>
        <v/>
      </c>
    </row>
    <row r="91">
      <c r="A91" s="3">
        <f>'Daily Data'!A90</f>
        <v/>
      </c>
      <c r="B91" s="3">
        <f>'Daily Data'!B90</f>
        <v/>
      </c>
      <c r="C91" s="3">
        <f>'Daily Data'!C90</f>
        <v/>
      </c>
      <c r="D91" s="17">
        <f>'Daily Data'!G90*'Daily Data'!C90</f>
        <v/>
      </c>
      <c r="E91" s="17">
        <f>'Daily Data'!D90*'Daily Data'!C90</f>
        <v/>
      </c>
      <c r="F91" s="17">
        <f>('Daily Data'!J90*'Daily Data'!C90)/60</f>
        <v/>
      </c>
      <c r="G91" s="17">
        <f>('Daily Data'!H90*'Daily Data'!C90)/60</f>
        <v/>
      </c>
      <c r="H91" s="18">
        <f>('Daily Data'!F90-'Daily Data'!E90)*D91</f>
        <v/>
      </c>
      <c r="I91" s="18">
        <f>(D91-E91)*'Daily Data'!E90</f>
        <v/>
      </c>
      <c r="J91" s="18">
        <f>('Daily Data'!K90-'Daily Data'!I90)*F91</f>
        <v/>
      </c>
      <c r="K91" s="18">
        <f>(F91-G91)*'Daily Data'!I90</f>
        <v/>
      </c>
      <c r="L91" s="19">
        <f>H91+I91</f>
        <v/>
      </c>
      <c r="M91" s="19">
        <f>J91+K91</f>
        <v/>
      </c>
      <c r="N91" s="19">
        <f>L91+M91</f>
        <v/>
      </c>
    </row>
    <row r="92">
      <c r="A92" s="3">
        <f>'Daily Data'!A91</f>
        <v/>
      </c>
      <c r="B92" s="3">
        <f>'Daily Data'!B91</f>
        <v/>
      </c>
      <c r="C92" s="3">
        <f>'Daily Data'!C91</f>
        <v/>
      </c>
      <c r="D92" s="17">
        <f>'Daily Data'!G91*'Daily Data'!C91</f>
        <v/>
      </c>
      <c r="E92" s="17">
        <f>'Daily Data'!D91*'Daily Data'!C91</f>
        <v/>
      </c>
      <c r="F92" s="17">
        <f>('Daily Data'!J91*'Daily Data'!C91)/60</f>
        <v/>
      </c>
      <c r="G92" s="17">
        <f>('Daily Data'!H91*'Daily Data'!C91)/60</f>
        <v/>
      </c>
      <c r="H92" s="18">
        <f>('Daily Data'!F91-'Daily Data'!E91)*D92</f>
        <v/>
      </c>
      <c r="I92" s="18">
        <f>(D92-E92)*'Daily Data'!E91</f>
        <v/>
      </c>
      <c r="J92" s="18">
        <f>('Daily Data'!K91-'Daily Data'!I91)*F92</f>
        <v/>
      </c>
      <c r="K92" s="18">
        <f>(F92-G92)*'Daily Data'!I91</f>
        <v/>
      </c>
      <c r="L92" s="19">
        <f>H92+I92</f>
        <v/>
      </c>
      <c r="M92" s="19">
        <f>J92+K92</f>
        <v/>
      </c>
      <c r="N92" s="19">
        <f>L92+M92</f>
        <v/>
      </c>
    </row>
    <row r="93">
      <c r="A93" s="3">
        <f>'Daily Data'!A92</f>
        <v/>
      </c>
      <c r="B93" s="3">
        <f>'Daily Data'!B92</f>
        <v/>
      </c>
      <c r="C93" s="3">
        <f>'Daily Data'!C92</f>
        <v/>
      </c>
      <c r="D93" s="17">
        <f>'Daily Data'!G92*'Daily Data'!C92</f>
        <v/>
      </c>
      <c r="E93" s="17">
        <f>'Daily Data'!D92*'Daily Data'!C92</f>
        <v/>
      </c>
      <c r="F93" s="17">
        <f>('Daily Data'!J92*'Daily Data'!C92)/60</f>
        <v/>
      </c>
      <c r="G93" s="17">
        <f>('Daily Data'!H92*'Daily Data'!C92)/60</f>
        <v/>
      </c>
      <c r="H93" s="18">
        <f>('Daily Data'!F92-'Daily Data'!E92)*D93</f>
        <v/>
      </c>
      <c r="I93" s="18">
        <f>(D93-E93)*'Daily Data'!E92</f>
        <v/>
      </c>
      <c r="J93" s="18">
        <f>('Daily Data'!K92-'Daily Data'!I92)*F93</f>
        <v/>
      </c>
      <c r="K93" s="18">
        <f>(F93-G93)*'Daily Data'!I92</f>
        <v/>
      </c>
      <c r="L93" s="19">
        <f>H93+I93</f>
        <v/>
      </c>
      <c r="M93" s="19">
        <f>J93+K93</f>
        <v/>
      </c>
      <c r="N93" s="19">
        <f>L93+M93</f>
        <v/>
      </c>
    </row>
    <row r="94">
      <c r="A94" s="3">
        <f>'Daily Data'!A93</f>
        <v/>
      </c>
      <c r="B94" s="3">
        <f>'Daily Data'!B93</f>
        <v/>
      </c>
      <c r="C94" s="3">
        <f>'Daily Data'!C93</f>
        <v/>
      </c>
      <c r="D94" s="17">
        <f>'Daily Data'!G93*'Daily Data'!C93</f>
        <v/>
      </c>
      <c r="E94" s="17">
        <f>'Daily Data'!D93*'Daily Data'!C93</f>
        <v/>
      </c>
      <c r="F94" s="17">
        <f>('Daily Data'!J93*'Daily Data'!C93)/60</f>
        <v/>
      </c>
      <c r="G94" s="17">
        <f>('Daily Data'!H93*'Daily Data'!C93)/60</f>
        <v/>
      </c>
      <c r="H94" s="18">
        <f>('Daily Data'!F93-'Daily Data'!E93)*D94</f>
        <v/>
      </c>
      <c r="I94" s="18">
        <f>(D94-E94)*'Daily Data'!E93</f>
        <v/>
      </c>
      <c r="J94" s="18">
        <f>('Daily Data'!K93-'Daily Data'!I93)*F94</f>
        <v/>
      </c>
      <c r="K94" s="18">
        <f>(F94-G94)*'Daily Data'!I93</f>
        <v/>
      </c>
      <c r="L94" s="19">
        <f>H94+I94</f>
        <v/>
      </c>
      <c r="M94" s="19">
        <f>J94+K94</f>
        <v/>
      </c>
      <c r="N94" s="19">
        <f>L94+M94</f>
        <v/>
      </c>
    </row>
    <row r="95">
      <c r="A95" s="3">
        <f>'Daily Data'!A94</f>
        <v/>
      </c>
      <c r="B95" s="3">
        <f>'Daily Data'!B94</f>
        <v/>
      </c>
      <c r="C95" s="3">
        <f>'Daily Data'!C94</f>
        <v/>
      </c>
      <c r="D95" s="17">
        <f>'Daily Data'!G94*'Daily Data'!C94</f>
        <v/>
      </c>
      <c r="E95" s="17">
        <f>'Daily Data'!D94*'Daily Data'!C94</f>
        <v/>
      </c>
      <c r="F95" s="17">
        <f>('Daily Data'!J94*'Daily Data'!C94)/60</f>
        <v/>
      </c>
      <c r="G95" s="17">
        <f>('Daily Data'!H94*'Daily Data'!C94)/60</f>
        <v/>
      </c>
      <c r="H95" s="18">
        <f>('Daily Data'!F94-'Daily Data'!E94)*D95</f>
        <v/>
      </c>
      <c r="I95" s="18">
        <f>(D95-E95)*'Daily Data'!E94</f>
        <v/>
      </c>
      <c r="J95" s="18">
        <f>('Daily Data'!K94-'Daily Data'!I94)*F95</f>
        <v/>
      </c>
      <c r="K95" s="18">
        <f>(F95-G95)*'Daily Data'!I94</f>
        <v/>
      </c>
      <c r="L95" s="19">
        <f>H95+I95</f>
        <v/>
      </c>
      <c r="M95" s="19">
        <f>J95+K95</f>
        <v/>
      </c>
      <c r="N95" s="19">
        <f>L95+M95</f>
        <v/>
      </c>
    </row>
    <row r="96">
      <c r="A96" s="3">
        <f>'Daily Data'!A95</f>
        <v/>
      </c>
      <c r="B96" s="3">
        <f>'Daily Data'!B95</f>
        <v/>
      </c>
      <c r="C96" s="3">
        <f>'Daily Data'!C95</f>
        <v/>
      </c>
      <c r="D96" s="17">
        <f>'Daily Data'!G95*'Daily Data'!C95</f>
        <v/>
      </c>
      <c r="E96" s="17">
        <f>'Daily Data'!D95*'Daily Data'!C95</f>
        <v/>
      </c>
      <c r="F96" s="17">
        <f>('Daily Data'!J95*'Daily Data'!C95)/60</f>
        <v/>
      </c>
      <c r="G96" s="17">
        <f>('Daily Data'!H95*'Daily Data'!C95)/60</f>
        <v/>
      </c>
      <c r="H96" s="18">
        <f>('Daily Data'!F95-'Daily Data'!E95)*D96</f>
        <v/>
      </c>
      <c r="I96" s="18">
        <f>(D96-E96)*'Daily Data'!E95</f>
        <v/>
      </c>
      <c r="J96" s="18">
        <f>('Daily Data'!K95-'Daily Data'!I95)*F96</f>
        <v/>
      </c>
      <c r="K96" s="18">
        <f>(F96-G96)*'Daily Data'!I95</f>
        <v/>
      </c>
      <c r="L96" s="19">
        <f>H96+I96</f>
        <v/>
      </c>
      <c r="M96" s="19">
        <f>J96+K96</f>
        <v/>
      </c>
      <c r="N96" s="19">
        <f>L96+M96</f>
        <v/>
      </c>
    </row>
    <row r="97">
      <c r="A97" s="3">
        <f>'Daily Data'!A96</f>
        <v/>
      </c>
      <c r="B97" s="3">
        <f>'Daily Data'!B96</f>
        <v/>
      </c>
      <c r="C97" s="3">
        <f>'Daily Data'!C96</f>
        <v/>
      </c>
      <c r="D97" s="17">
        <f>'Daily Data'!G96*'Daily Data'!C96</f>
        <v/>
      </c>
      <c r="E97" s="17">
        <f>'Daily Data'!D96*'Daily Data'!C96</f>
        <v/>
      </c>
      <c r="F97" s="17">
        <f>('Daily Data'!J96*'Daily Data'!C96)/60</f>
        <v/>
      </c>
      <c r="G97" s="17">
        <f>('Daily Data'!H96*'Daily Data'!C96)/60</f>
        <v/>
      </c>
      <c r="H97" s="18">
        <f>('Daily Data'!F96-'Daily Data'!E96)*D97</f>
        <v/>
      </c>
      <c r="I97" s="18">
        <f>(D97-E97)*'Daily Data'!E96</f>
        <v/>
      </c>
      <c r="J97" s="18">
        <f>('Daily Data'!K96-'Daily Data'!I96)*F97</f>
        <v/>
      </c>
      <c r="K97" s="18">
        <f>(F97-G97)*'Daily Data'!I96</f>
        <v/>
      </c>
      <c r="L97" s="19">
        <f>H97+I97</f>
        <v/>
      </c>
      <c r="M97" s="19">
        <f>J97+K97</f>
        <v/>
      </c>
      <c r="N97" s="19">
        <f>L97+M97</f>
        <v/>
      </c>
    </row>
    <row r="98">
      <c r="A98" s="3">
        <f>'Daily Data'!A97</f>
        <v/>
      </c>
      <c r="B98" s="3">
        <f>'Daily Data'!B97</f>
        <v/>
      </c>
      <c r="C98" s="3">
        <f>'Daily Data'!C97</f>
        <v/>
      </c>
      <c r="D98" s="17">
        <f>'Daily Data'!G97*'Daily Data'!C97</f>
        <v/>
      </c>
      <c r="E98" s="17">
        <f>'Daily Data'!D97*'Daily Data'!C97</f>
        <v/>
      </c>
      <c r="F98" s="17">
        <f>('Daily Data'!J97*'Daily Data'!C97)/60</f>
        <v/>
      </c>
      <c r="G98" s="17">
        <f>('Daily Data'!H97*'Daily Data'!C97)/60</f>
        <v/>
      </c>
      <c r="H98" s="18">
        <f>('Daily Data'!F97-'Daily Data'!E97)*D98</f>
        <v/>
      </c>
      <c r="I98" s="18">
        <f>(D98-E98)*'Daily Data'!E97</f>
        <v/>
      </c>
      <c r="J98" s="18">
        <f>('Daily Data'!K97-'Daily Data'!I97)*F98</f>
        <v/>
      </c>
      <c r="K98" s="18">
        <f>(F98-G98)*'Daily Data'!I97</f>
        <v/>
      </c>
      <c r="L98" s="19">
        <f>H98+I98</f>
        <v/>
      </c>
      <c r="M98" s="19">
        <f>J98+K98</f>
        <v/>
      </c>
      <c r="N98" s="19">
        <f>L98+M98</f>
        <v/>
      </c>
    </row>
    <row r="99">
      <c r="A99" s="3">
        <f>'Daily Data'!A98</f>
        <v/>
      </c>
      <c r="B99" s="3">
        <f>'Daily Data'!B98</f>
        <v/>
      </c>
      <c r="C99" s="3">
        <f>'Daily Data'!C98</f>
        <v/>
      </c>
      <c r="D99" s="17">
        <f>'Daily Data'!G98*'Daily Data'!C98</f>
        <v/>
      </c>
      <c r="E99" s="17">
        <f>'Daily Data'!D98*'Daily Data'!C98</f>
        <v/>
      </c>
      <c r="F99" s="17">
        <f>('Daily Data'!J98*'Daily Data'!C98)/60</f>
        <v/>
      </c>
      <c r="G99" s="17">
        <f>('Daily Data'!H98*'Daily Data'!C98)/60</f>
        <v/>
      </c>
      <c r="H99" s="18">
        <f>('Daily Data'!F98-'Daily Data'!E98)*D99</f>
        <v/>
      </c>
      <c r="I99" s="18">
        <f>(D99-E99)*'Daily Data'!E98</f>
        <v/>
      </c>
      <c r="J99" s="18">
        <f>('Daily Data'!K98-'Daily Data'!I98)*F99</f>
        <v/>
      </c>
      <c r="K99" s="18">
        <f>(F99-G99)*'Daily Data'!I98</f>
        <v/>
      </c>
      <c r="L99" s="19">
        <f>H99+I99</f>
        <v/>
      </c>
      <c r="M99" s="19">
        <f>J99+K99</f>
        <v/>
      </c>
      <c r="N99" s="19">
        <f>L99+M99</f>
        <v/>
      </c>
    </row>
    <row r="100">
      <c r="A100" s="3">
        <f>'Daily Data'!A99</f>
        <v/>
      </c>
      <c r="B100" s="3">
        <f>'Daily Data'!B99</f>
        <v/>
      </c>
      <c r="C100" s="3">
        <f>'Daily Data'!C99</f>
        <v/>
      </c>
      <c r="D100" s="17">
        <f>'Daily Data'!G99*'Daily Data'!C99</f>
        <v/>
      </c>
      <c r="E100" s="17">
        <f>'Daily Data'!D99*'Daily Data'!C99</f>
        <v/>
      </c>
      <c r="F100" s="17">
        <f>('Daily Data'!J99*'Daily Data'!C99)/60</f>
        <v/>
      </c>
      <c r="G100" s="17">
        <f>('Daily Data'!H99*'Daily Data'!C99)/60</f>
        <v/>
      </c>
      <c r="H100" s="18">
        <f>('Daily Data'!F99-'Daily Data'!E99)*D100</f>
        <v/>
      </c>
      <c r="I100" s="18">
        <f>(D100-E100)*'Daily Data'!E99</f>
        <v/>
      </c>
      <c r="J100" s="18">
        <f>('Daily Data'!K99-'Daily Data'!I99)*F100</f>
        <v/>
      </c>
      <c r="K100" s="18">
        <f>(F100-G100)*'Daily Data'!I99</f>
        <v/>
      </c>
      <c r="L100" s="19">
        <f>H100+I100</f>
        <v/>
      </c>
      <c r="M100" s="19">
        <f>J100+K100</f>
        <v/>
      </c>
      <c r="N100" s="19">
        <f>L100+M100</f>
        <v/>
      </c>
    </row>
    <row r="101">
      <c r="A101" s="3">
        <f>'Daily Data'!A100</f>
        <v/>
      </c>
      <c r="B101" s="3">
        <f>'Daily Data'!B100</f>
        <v/>
      </c>
      <c r="C101" s="3">
        <f>'Daily Data'!C100</f>
        <v/>
      </c>
      <c r="D101" s="17">
        <f>'Daily Data'!G100*'Daily Data'!C100</f>
        <v/>
      </c>
      <c r="E101" s="17">
        <f>'Daily Data'!D100*'Daily Data'!C100</f>
        <v/>
      </c>
      <c r="F101" s="17">
        <f>('Daily Data'!J100*'Daily Data'!C100)/60</f>
        <v/>
      </c>
      <c r="G101" s="17">
        <f>('Daily Data'!H100*'Daily Data'!C100)/60</f>
        <v/>
      </c>
      <c r="H101" s="18">
        <f>('Daily Data'!F100-'Daily Data'!E100)*D101</f>
        <v/>
      </c>
      <c r="I101" s="18">
        <f>(D101-E101)*'Daily Data'!E100</f>
        <v/>
      </c>
      <c r="J101" s="18">
        <f>('Daily Data'!K100-'Daily Data'!I100)*F101</f>
        <v/>
      </c>
      <c r="K101" s="18">
        <f>(F101-G101)*'Daily Data'!I100</f>
        <v/>
      </c>
      <c r="L101" s="19">
        <f>H101+I101</f>
        <v/>
      </c>
      <c r="M101" s="19">
        <f>J101+K101</f>
        <v/>
      </c>
      <c r="N101" s="19">
        <f>L101+M101</f>
        <v/>
      </c>
    </row>
    <row r="102">
      <c r="A102" s="3">
        <f>'Daily Data'!A101</f>
        <v/>
      </c>
      <c r="B102" s="3">
        <f>'Daily Data'!B101</f>
        <v/>
      </c>
      <c r="C102" s="3">
        <f>'Daily Data'!C101</f>
        <v/>
      </c>
      <c r="D102" s="17">
        <f>'Daily Data'!G101*'Daily Data'!C101</f>
        <v/>
      </c>
      <c r="E102" s="17">
        <f>'Daily Data'!D101*'Daily Data'!C101</f>
        <v/>
      </c>
      <c r="F102" s="17">
        <f>('Daily Data'!J101*'Daily Data'!C101)/60</f>
        <v/>
      </c>
      <c r="G102" s="17">
        <f>('Daily Data'!H101*'Daily Data'!C101)/60</f>
        <v/>
      </c>
      <c r="H102" s="18">
        <f>('Daily Data'!F101-'Daily Data'!E101)*D102</f>
        <v/>
      </c>
      <c r="I102" s="18">
        <f>(D102-E102)*'Daily Data'!E101</f>
        <v/>
      </c>
      <c r="J102" s="18">
        <f>('Daily Data'!K101-'Daily Data'!I101)*F102</f>
        <v/>
      </c>
      <c r="K102" s="18">
        <f>(F102-G102)*'Daily Data'!I101</f>
        <v/>
      </c>
      <c r="L102" s="19">
        <f>H102+I102</f>
        <v/>
      </c>
      <c r="M102" s="19">
        <f>J102+K102</f>
        <v/>
      </c>
      <c r="N102" s="19">
        <f>L102+M102</f>
        <v/>
      </c>
    </row>
    <row r="103">
      <c r="A103" s="3">
        <f>'Daily Data'!A102</f>
        <v/>
      </c>
      <c r="B103" s="3">
        <f>'Daily Data'!B102</f>
        <v/>
      </c>
      <c r="C103" s="3">
        <f>'Daily Data'!C102</f>
        <v/>
      </c>
      <c r="D103" s="17">
        <f>'Daily Data'!G102*'Daily Data'!C102</f>
        <v/>
      </c>
      <c r="E103" s="17">
        <f>'Daily Data'!D102*'Daily Data'!C102</f>
        <v/>
      </c>
      <c r="F103" s="17">
        <f>('Daily Data'!J102*'Daily Data'!C102)/60</f>
        <v/>
      </c>
      <c r="G103" s="17">
        <f>('Daily Data'!H102*'Daily Data'!C102)/60</f>
        <v/>
      </c>
      <c r="H103" s="18">
        <f>('Daily Data'!F102-'Daily Data'!E102)*D103</f>
        <v/>
      </c>
      <c r="I103" s="18">
        <f>(D103-E103)*'Daily Data'!E102</f>
        <v/>
      </c>
      <c r="J103" s="18">
        <f>('Daily Data'!K102-'Daily Data'!I102)*F103</f>
        <v/>
      </c>
      <c r="K103" s="18">
        <f>(F103-G103)*'Daily Data'!I102</f>
        <v/>
      </c>
      <c r="L103" s="19">
        <f>H103+I103</f>
        <v/>
      </c>
      <c r="M103" s="19">
        <f>J103+K103</f>
        <v/>
      </c>
      <c r="N103" s="19">
        <f>L103+M103</f>
        <v/>
      </c>
    </row>
    <row r="104">
      <c r="A104" s="3">
        <f>'Daily Data'!A103</f>
        <v/>
      </c>
      <c r="B104" s="3">
        <f>'Daily Data'!B103</f>
        <v/>
      </c>
      <c r="C104" s="3">
        <f>'Daily Data'!C103</f>
        <v/>
      </c>
      <c r="D104" s="17">
        <f>'Daily Data'!G103*'Daily Data'!C103</f>
        <v/>
      </c>
      <c r="E104" s="17">
        <f>'Daily Data'!D103*'Daily Data'!C103</f>
        <v/>
      </c>
      <c r="F104" s="17">
        <f>('Daily Data'!J103*'Daily Data'!C103)/60</f>
        <v/>
      </c>
      <c r="G104" s="17">
        <f>('Daily Data'!H103*'Daily Data'!C103)/60</f>
        <v/>
      </c>
      <c r="H104" s="18">
        <f>('Daily Data'!F103-'Daily Data'!E103)*D104</f>
        <v/>
      </c>
      <c r="I104" s="18">
        <f>(D104-E104)*'Daily Data'!E103</f>
        <v/>
      </c>
      <c r="J104" s="18">
        <f>('Daily Data'!K103-'Daily Data'!I103)*F104</f>
        <v/>
      </c>
      <c r="K104" s="18">
        <f>(F104-G104)*'Daily Data'!I103</f>
        <v/>
      </c>
      <c r="L104" s="19">
        <f>H104+I104</f>
        <v/>
      </c>
      <c r="M104" s="19">
        <f>J104+K104</f>
        <v/>
      </c>
      <c r="N104" s="19">
        <f>L104+M104</f>
        <v/>
      </c>
    </row>
    <row r="105">
      <c r="A105" s="3">
        <f>'Daily Data'!A104</f>
        <v/>
      </c>
      <c r="B105" s="3">
        <f>'Daily Data'!B104</f>
        <v/>
      </c>
      <c r="C105" s="3">
        <f>'Daily Data'!C104</f>
        <v/>
      </c>
      <c r="D105" s="17">
        <f>'Daily Data'!G104*'Daily Data'!C104</f>
        <v/>
      </c>
      <c r="E105" s="17">
        <f>'Daily Data'!D104*'Daily Data'!C104</f>
        <v/>
      </c>
      <c r="F105" s="17">
        <f>('Daily Data'!J104*'Daily Data'!C104)/60</f>
        <v/>
      </c>
      <c r="G105" s="17">
        <f>('Daily Data'!H104*'Daily Data'!C104)/60</f>
        <v/>
      </c>
      <c r="H105" s="18">
        <f>('Daily Data'!F104-'Daily Data'!E104)*D105</f>
        <v/>
      </c>
      <c r="I105" s="18">
        <f>(D105-E105)*'Daily Data'!E104</f>
        <v/>
      </c>
      <c r="J105" s="18">
        <f>('Daily Data'!K104-'Daily Data'!I104)*F105</f>
        <v/>
      </c>
      <c r="K105" s="18">
        <f>(F105-G105)*'Daily Data'!I104</f>
        <v/>
      </c>
      <c r="L105" s="19">
        <f>H105+I105</f>
        <v/>
      </c>
      <c r="M105" s="19">
        <f>J105+K105</f>
        <v/>
      </c>
      <c r="N105" s="19">
        <f>L105+M105</f>
        <v/>
      </c>
    </row>
    <row r="106">
      <c r="A106" s="3">
        <f>'Daily Data'!A105</f>
        <v/>
      </c>
      <c r="B106" s="3">
        <f>'Daily Data'!B105</f>
        <v/>
      </c>
      <c r="C106" s="3">
        <f>'Daily Data'!C105</f>
        <v/>
      </c>
      <c r="D106" s="17">
        <f>'Daily Data'!G105*'Daily Data'!C105</f>
        <v/>
      </c>
      <c r="E106" s="17">
        <f>'Daily Data'!D105*'Daily Data'!C105</f>
        <v/>
      </c>
      <c r="F106" s="17">
        <f>('Daily Data'!J105*'Daily Data'!C105)/60</f>
        <v/>
      </c>
      <c r="G106" s="17">
        <f>('Daily Data'!H105*'Daily Data'!C105)/60</f>
        <v/>
      </c>
      <c r="H106" s="18">
        <f>('Daily Data'!F105-'Daily Data'!E105)*D106</f>
        <v/>
      </c>
      <c r="I106" s="18">
        <f>(D106-E106)*'Daily Data'!E105</f>
        <v/>
      </c>
      <c r="J106" s="18">
        <f>('Daily Data'!K105-'Daily Data'!I105)*F106</f>
        <v/>
      </c>
      <c r="K106" s="18">
        <f>(F106-G106)*'Daily Data'!I105</f>
        <v/>
      </c>
      <c r="L106" s="19">
        <f>H106+I106</f>
        <v/>
      </c>
      <c r="M106" s="19">
        <f>J106+K106</f>
        <v/>
      </c>
      <c r="N106" s="19">
        <f>L106+M106</f>
        <v/>
      </c>
    </row>
    <row r="107">
      <c r="A107" s="3">
        <f>'Daily Data'!A106</f>
        <v/>
      </c>
      <c r="B107" s="3">
        <f>'Daily Data'!B106</f>
        <v/>
      </c>
      <c r="C107" s="3">
        <f>'Daily Data'!C106</f>
        <v/>
      </c>
      <c r="D107" s="17">
        <f>'Daily Data'!G106*'Daily Data'!C106</f>
        <v/>
      </c>
      <c r="E107" s="17">
        <f>'Daily Data'!D106*'Daily Data'!C106</f>
        <v/>
      </c>
      <c r="F107" s="17">
        <f>('Daily Data'!J106*'Daily Data'!C106)/60</f>
        <v/>
      </c>
      <c r="G107" s="17">
        <f>('Daily Data'!H106*'Daily Data'!C106)/60</f>
        <v/>
      </c>
      <c r="H107" s="18">
        <f>('Daily Data'!F106-'Daily Data'!E106)*D107</f>
        <v/>
      </c>
      <c r="I107" s="18">
        <f>(D107-E107)*'Daily Data'!E106</f>
        <v/>
      </c>
      <c r="J107" s="18">
        <f>('Daily Data'!K106-'Daily Data'!I106)*F107</f>
        <v/>
      </c>
      <c r="K107" s="18">
        <f>(F107-G107)*'Daily Data'!I106</f>
        <v/>
      </c>
      <c r="L107" s="19">
        <f>H107+I107</f>
        <v/>
      </c>
      <c r="M107" s="19">
        <f>J107+K107</f>
        <v/>
      </c>
      <c r="N107" s="19">
        <f>L107+M107</f>
        <v/>
      </c>
    </row>
    <row r="108">
      <c r="A108" s="3">
        <f>'Daily Data'!A107</f>
        <v/>
      </c>
      <c r="B108" s="3">
        <f>'Daily Data'!B107</f>
        <v/>
      </c>
      <c r="C108" s="3">
        <f>'Daily Data'!C107</f>
        <v/>
      </c>
      <c r="D108" s="17">
        <f>'Daily Data'!G107*'Daily Data'!C107</f>
        <v/>
      </c>
      <c r="E108" s="17">
        <f>'Daily Data'!D107*'Daily Data'!C107</f>
        <v/>
      </c>
      <c r="F108" s="17">
        <f>('Daily Data'!J107*'Daily Data'!C107)/60</f>
        <v/>
      </c>
      <c r="G108" s="17">
        <f>('Daily Data'!H107*'Daily Data'!C107)/60</f>
        <v/>
      </c>
      <c r="H108" s="18">
        <f>('Daily Data'!F107-'Daily Data'!E107)*D108</f>
        <v/>
      </c>
      <c r="I108" s="18">
        <f>(D108-E108)*'Daily Data'!E107</f>
        <v/>
      </c>
      <c r="J108" s="18">
        <f>('Daily Data'!K107-'Daily Data'!I107)*F108</f>
        <v/>
      </c>
      <c r="K108" s="18">
        <f>(F108-G108)*'Daily Data'!I107</f>
        <v/>
      </c>
      <c r="L108" s="19">
        <f>H108+I108</f>
        <v/>
      </c>
      <c r="M108" s="19">
        <f>J108+K108</f>
        <v/>
      </c>
      <c r="N108" s="19">
        <f>L108+M108</f>
        <v/>
      </c>
    </row>
    <row r="109">
      <c r="A109" s="3">
        <f>'Daily Data'!A108</f>
        <v/>
      </c>
      <c r="B109" s="3">
        <f>'Daily Data'!B108</f>
        <v/>
      </c>
      <c r="C109" s="3">
        <f>'Daily Data'!C108</f>
        <v/>
      </c>
      <c r="D109" s="17">
        <f>'Daily Data'!G108*'Daily Data'!C108</f>
        <v/>
      </c>
      <c r="E109" s="17">
        <f>'Daily Data'!D108*'Daily Data'!C108</f>
        <v/>
      </c>
      <c r="F109" s="17">
        <f>('Daily Data'!J108*'Daily Data'!C108)/60</f>
        <v/>
      </c>
      <c r="G109" s="17">
        <f>('Daily Data'!H108*'Daily Data'!C108)/60</f>
        <v/>
      </c>
      <c r="H109" s="18">
        <f>('Daily Data'!F108-'Daily Data'!E108)*D109</f>
        <v/>
      </c>
      <c r="I109" s="18">
        <f>(D109-E109)*'Daily Data'!E108</f>
        <v/>
      </c>
      <c r="J109" s="18">
        <f>('Daily Data'!K108-'Daily Data'!I108)*F109</f>
        <v/>
      </c>
      <c r="K109" s="18">
        <f>(F109-G109)*'Daily Data'!I108</f>
        <v/>
      </c>
      <c r="L109" s="19">
        <f>H109+I109</f>
        <v/>
      </c>
      <c r="M109" s="19">
        <f>J109+K109</f>
        <v/>
      </c>
      <c r="N109" s="19">
        <f>L109+M109</f>
        <v/>
      </c>
    </row>
  </sheetData>
  <conditionalFormatting sqref="H6:H10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6:I10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6:J10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6:K10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6:L10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6:M10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6:N10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7" t="inlineStr">
        <is>
          <t>Monthly Variance Dashboard — April 2026</t>
        </is>
      </c>
    </row>
    <row r="3">
      <c r="B3" s="6" t="inlineStr">
        <is>
          <t>Negative (green) = favorable to standard. Positive (red) = unfavorable to standard.</t>
        </is>
      </c>
    </row>
    <row r="5">
      <c r="B5" s="8" t="inlineStr">
        <is>
          <t>Dish</t>
        </is>
      </c>
      <c r="C5" s="8" t="inlineStr">
        <is>
          <t>MPV</t>
        </is>
      </c>
      <c r="D5" s="8" t="inlineStr">
        <is>
          <t>MQV</t>
        </is>
      </c>
      <c r="E5" s="8" t="inlineStr">
        <is>
          <t>LRV</t>
        </is>
      </c>
      <c r="F5" s="8" t="inlineStr">
        <is>
          <t>LEV</t>
        </is>
      </c>
      <c r="G5" s="8" t="inlineStr">
        <is>
          <t>Total Orders</t>
        </is>
      </c>
      <c r="H5" s="8" t="inlineStr">
        <is>
          <t>Total Material Var</t>
        </is>
      </c>
      <c r="I5" s="8" t="inlineStr">
        <is>
          <t>Total Labor Var</t>
        </is>
      </c>
      <c r="J5" s="8" t="inlineStr">
        <is>
          <t>Grand Total Var</t>
        </is>
      </c>
    </row>
    <row r="6">
      <c r="B6" s="20" t="inlineStr">
        <is>
          <t>Chicken Momos</t>
        </is>
      </c>
      <c r="C6" s="12">
        <f>SUMIF('Variance Calcs'!$A$6:$A$109,B6,'Variance Calcs'!$H$6:$H$109)</f>
        <v/>
      </c>
      <c r="D6" s="12">
        <f>SUMIF('Variance Calcs'!$A$6:$A$109,B6,'Variance Calcs'!$I$6:$I$109)</f>
        <v/>
      </c>
      <c r="E6" s="12">
        <f>SUMIF('Variance Calcs'!$A$6:$A$109,B6,'Variance Calcs'!$J$6:$J$109)</f>
        <v/>
      </c>
      <c r="F6" s="12">
        <f>SUMIF('Variance Calcs'!$A$6:$A$109,B6,'Variance Calcs'!$K$6:$K$109)</f>
        <v/>
      </c>
      <c r="G6" s="21">
        <f>SUMIF('Daily Data'!$A$5:$A$108,B6,'Daily Data'!$C$5:$C$108)</f>
        <v/>
      </c>
      <c r="H6" s="13">
        <f>C6+D6</f>
        <v/>
      </c>
      <c r="I6" s="13">
        <f>E6+F6</f>
        <v/>
      </c>
      <c r="J6" s="13">
        <f>H6+I6</f>
        <v/>
      </c>
    </row>
    <row r="7">
      <c r="B7" s="20" t="inlineStr">
        <is>
          <t>Veg Thukpa</t>
        </is>
      </c>
      <c r="C7" s="12">
        <f>SUMIF('Variance Calcs'!$A$6:$A$109,B7,'Variance Calcs'!$H$6:$H$109)</f>
        <v/>
      </c>
      <c r="D7" s="12">
        <f>SUMIF('Variance Calcs'!$A$6:$A$109,B7,'Variance Calcs'!$I$6:$I$109)</f>
        <v/>
      </c>
      <c r="E7" s="12">
        <f>SUMIF('Variance Calcs'!$A$6:$A$109,B7,'Variance Calcs'!$J$6:$J$109)</f>
        <v/>
      </c>
      <c r="F7" s="12">
        <f>SUMIF('Variance Calcs'!$A$6:$A$109,B7,'Variance Calcs'!$K$6:$K$109)</f>
        <v/>
      </c>
      <c r="G7" s="21">
        <f>SUMIF('Daily Data'!$A$5:$A$108,B7,'Daily Data'!$C$5:$C$108)</f>
        <v/>
      </c>
      <c r="H7" s="13">
        <f>C7+D7</f>
        <v/>
      </c>
      <c r="I7" s="13">
        <f>E7+F7</f>
        <v/>
      </c>
      <c r="J7" s="13">
        <f>H7+I7</f>
        <v/>
      </c>
    </row>
    <row r="8">
      <c r="B8" s="20" t="inlineStr">
        <is>
          <t>Chow Mein (Chicken)</t>
        </is>
      </c>
      <c r="C8" s="12">
        <f>SUMIF('Variance Calcs'!$A$6:$A$109,B8,'Variance Calcs'!$H$6:$H$109)</f>
        <v/>
      </c>
      <c r="D8" s="12">
        <f>SUMIF('Variance Calcs'!$A$6:$A$109,B8,'Variance Calcs'!$I$6:$I$109)</f>
        <v/>
      </c>
      <c r="E8" s="12">
        <f>SUMIF('Variance Calcs'!$A$6:$A$109,B8,'Variance Calcs'!$J$6:$J$109)</f>
        <v/>
      </c>
      <c r="F8" s="12">
        <f>SUMIF('Variance Calcs'!$A$6:$A$109,B8,'Variance Calcs'!$K$6:$K$109)</f>
        <v/>
      </c>
      <c r="G8" s="21">
        <f>SUMIF('Daily Data'!$A$5:$A$108,B8,'Daily Data'!$C$5:$C$108)</f>
        <v/>
      </c>
      <c r="H8" s="13">
        <f>C8+D8</f>
        <v/>
      </c>
      <c r="I8" s="13">
        <f>E8+F8</f>
        <v/>
      </c>
      <c r="J8" s="13">
        <f>H8+I8</f>
        <v/>
      </c>
    </row>
    <row r="9">
      <c r="B9" s="20" t="inlineStr">
        <is>
          <t>Lamb Sekuwa</t>
        </is>
      </c>
      <c r="C9" s="12">
        <f>SUMIF('Variance Calcs'!$A$6:$A$109,B9,'Variance Calcs'!$H$6:$H$109)</f>
        <v/>
      </c>
      <c r="D9" s="12">
        <f>SUMIF('Variance Calcs'!$A$6:$A$109,B9,'Variance Calcs'!$I$6:$I$109)</f>
        <v/>
      </c>
      <c r="E9" s="12">
        <f>SUMIF('Variance Calcs'!$A$6:$A$109,B9,'Variance Calcs'!$J$6:$J$109)</f>
        <v/>
      </c>
      <c r="F9" s="12">
        <f>SUMIF('Variance Calcs'!$A$6:$A$109,B9,'Variance Calcs'!$K$6:$K$109)</f>
        <v/>
      </c>
      <c r="G9" s="21">
        <f>SUMIF('Daily Data'!$A$5:$A$108,B9,'Daily Data'!$C$5:$C$108)</f>
        <v/>
      </c>
      <c r="H9" s="13">
        <f>C9+D9</f>
        <v/>
      </c>
      <c r="I9" s="13">
        <f>E9+F9</f>
        <v/>
      </c>
      <c r="J9" s="13">
        <f>H9+I9</f>
        <v/>
      </c>
    </row>
    <row r="10">
      <c r="B10" s="20" t="inlineStr">
        <is>
          <t>Company Total</t>
        </is>
      </c>
      <c r="C10" s="13">
        <f>SUM(C6:C9)</f>
        <v/>
      </c>
      <c r="D10" s="13">
        <f>SUM(D6:D9)</f>
        <v/>
      </c>
      <c r="E10" s="13">
        <f>SUM(E6:E9)</f>
        <v/>
      </c>
      <c r="F10" s="13">
        <f>SUM(F6:F9)</f>
        <v/>
      </c>
      <c r="G10" s="22">
        <f>SUM(G6:G9)</f>
        <v/>
      </c>
      <c r="H10" s="13">
        <f>SUM(H6:H9)</f>
        <v/>
      </c>
      <c r="I10" s="13">
        <f>SUM(I6:I9)</f>
        <v/>
      </c>
      <c r="J10" s="13">
        <f>SUM(J6:J9)</f>
        <v/>
      </c>
    </row>
    <row r="31">
      <c r="B31" s="23" t="inlineStr">
        <is>
          <t>Red Flags Identified (see Audit Memo for full detail)</t>
        </is>
      </c>
    </row>
    <row r="32">
      <c r="B32" s="24" t="inlineStr">
        <is>
          <t>Risk</t>
        </is>
      </c>
      <c r="C32" s="24" t="inlineStr">
        <is>
          <t>Test</t>
        </is>
      </c>
      <c r="D32" s="24" t="inlineStr">
        <is>
          <t>Dish</t>
        </is>
      </c>
      <c r="E32" s="24" t="inlineStr">
        <is>
          <t>Detail</t>
        </is>
      </c>
      <c r="F32" s="25" t="n"/>
      <c r="G32" s="25" t="n"/>
      <c r="H32" s="25" t="n"/>
      <c r="I32" s="25" t="n"/>
    </row>
    <row r="33" ht="45" customHeight="1">
      <c r="B33" s="26" t="inlineStr">
        <is>
          <t>Medium</t>
        </is>
      </c>
      <c r="C33" s="27" t="inlineStr">
        <is>
          <t>Price Variance Clustering</t>
        </is>
      </c>
      <c r="D33" s="27" t="inlineStr">
        <is>
          <t>Chicken Momos</t>
        </is>
      </c>
      <c r="E33" s="27" t="inlineStr">
        <is>
          <t>Coefficient of variation 0.0114 (unusually tight) with 100% of days favorable, averaging -2.10% vs standard. Under the project's documented 1.2% CV heuristic, this combination warrants tracing recorded prices to vendor invoices before the variance is relied upon.</t>
        </is>
      </c>
      <c r="F33" s="28" t="n"/>
      <c r="G33" s="28" t="n"/>
      <c r="H33" s="28" t="n"/>
      <c r="I33" s="28" t="n"/>
    </row>
    <row r="34" ht="45" customHeight="1">
      <c r="B34" s="26" t="inlineStr">
        <is>
          <t>Medium</t>
        </is>
      </c>
      <c r="C34" s="27" t="inlineStr">
        <is>
          <t>Price Variance Clustering</t>
        </is>
      </c>
      <c r="D34" s="27" t="inlineStr">
        <is>
          <t>Veg Thukpa</t>
        </is>
      </c>
      <c r="E34" s="27" t="inlineStr">
        <is>
          <t>Coefficient of variation 0.0040 (unusually tight) with 100% of days favorable, averaging -1.78% vs standard. Under the project's documented 1.2% CV heuristic, this combination warrants tracing recorded prices to vendor invoices before the variance is relied upon.</t>
        </is>
      </c>
      <c r="F34" s="28" t="n"/>
      <c r="G34" s="28" t="n"/>
      <c r="H34" s="28" t="n"/>
      <c r="I34" s="28" t="n"/>
    </row>
    <row r="35" ht="45" customHeight="1">
      <c r="B35" s="26" t="inlineStr">
        <is>
          <t>Medium</t>
        </is>
      </c>
      <c r="C35" s="27" t="inlineStr">
        <is>
          <t>Price Variance Clustering</t>
        </is>
      </c>
      <c r="D35" s="27" t="inlineStr">
        <is>
          <t>Chow Mein (Chicken)</t>
        </is>
      </c>
      <c r="E35" s="27" t="inlineStr">
        <is>
          <t>Coefficient of variation 0.0036 (unusually tight) with 100% of days favorable, averaging -1.69% vs standard. Under the project's documented 1.2% CV heuristic, this combination warrants tracing recorded prices to vendor invoices before the variance is relied upon.</t>
        </is>
      </c>
      <c r="F35" s="28" t="n"/>
      <c r="G35" s="28" t="n"/>
      <c r="H35" s="28" t="n"/>
      <c r="I35" s="28" t="n"/>
    </row>
    <row r="36" ht="45" customHeight="1">
      <c r="B36" s="26" t="inlineStr">
        <is>
          <t>Medium</t>
        </is>
      </c>
      <c r="C36" s="27" t="inlineStr">
        <is>
          <t>Price Variance Clustering</t>
        </is>
      </c>
      <c r="D36" s="27" t="inlineStr">
        <is>
          <t>Lamb Sekuwa</t>
        </is>
      </c>
      <c r="E36" s="27" t="inlineStr">
        <is>
          <t>Coefficient of variation 0.0048 (unusually tight) with 100% of days favorable, averaging -1.82% vs standard. Under the project's documented 1.2% CV heuristic, this combination warrants tracing recorded prices to vendor invoices before the variance is relied upon.</t>
        </is>
      </c>
      <c r="F36" s="28" t="n"/>
      <c r="G36" s="28" t="n"/>
      <c r="H36" s="28" t="n"/>
      <c r="I36" s="28" t="n"/>
    </row>
    <row r="37" ht="45" customHeight="1">
      <c r="B37" s="29" t="inlineStr">
        <is>
          <t>High</t>
        </is>
      </c>
      <c r="C37" s="27" t="inlineStr">
        <is>
          <t>Labor Time Consistency</t>
        </is>
      </c>
      <c r="D37" s="27" t="inlineStr">
        <is>
          <t>Chicken Momos</t>
        </is>
      </c>
      <c r="E37" s="27" t="inlineStr">
        <is>
          <t>Day-to-day standard deviation of recorded labor minutes (0.300) is 60% of the median spread across the four dishes (0.497). Under the project's cross-dish heuristic, the difference warrants validating the labor-time capture method; the calculation alone does not identify the cause.</t>
        </is>
      </c>
      <c r="F37" s="28" t="n"/>
      <c r="G37" s="28" t="n"/>
      <c r="H37" s="28" t="n"/>
      <c r="I37" s="28" t="n"/>
    </row>
    <row r="38" ht="45" customHeight="1">
      <c r="B38" s="29" t="inlineStr">
        <is>
          <t>High</t>
        </is>
      </c>
      <c r="C38" s="27" t="inlineStr">
        <is>
          <t>Period-End Shift</t>
        </is>
      </c>
      <c r="D38" s="27" t="inlineStr">
        <is>
          <t>Chicken Momos</t>
        </is>
      </c>
      <c r="E38" s="27" t="inlineStr">
        <is>
          <t>Average variance per order moved from $-0.118 during days 1-23 to $-0.306 during days 24-26, a shift of $-0.189 per order. In this synthetic scenario, no corresponding change in staffing or ingredient sourcing was provided, so the movement warrants follow-up rather than a conclusion about intent.</t>
        </is>
      </c>
      <c r="F38" s="28" t="n"/>
      <c r="G38" s="28" t="n"/>
      <c r="H38" s="28" t="n"/>
      <c r="I38" s="28" t="n"/>
    </row>
  </sheetData>
  <mergeCells count="8">
    <mergeCell ref="E34:I34"/>
    <mergeCell ref="E35:I35"/>
    <mergeCell ref="E38:I38"/>
    <mergeCell ref="E32:I32"/>
    <mergeCell ref="E33:I33"/>
    <mergeCell ref="E37:I37"/>
    <mergeCell ref="B31:I31"/>
    <mergeCell ref="E36:I36"/>
  </mergeCells>
  <conditionalFormatting sqref="C6:C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6:D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6:E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6:F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6:H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6:I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J6:J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2026-06-30T21:59:35Z</dcterms:created>
  <dcterms:modified xmlns:dcterms="http://purl.org/dc/terms/" xmlns:xsi="http://www.w3.org/2001/XMLSchema-instance" xsi:type="dcterms:W3CDTF">2026-06-30T21:59:35Z</dcterms:modified>
</cp:coreProperties>
</file>