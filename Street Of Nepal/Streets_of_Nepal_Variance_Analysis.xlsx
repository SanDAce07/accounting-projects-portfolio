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tandard Cost Cards" sheetId="2" state="visible" r:id="rId4"/>
    <sheet name="Daily Data" sheetId="3" state="visible" r:id="rId5"/>
    <sheet name="Variance Calc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<sst xmlns="http://schemas.openxmlformats.org/spreadsheetml/2006/main" count="209" uniqueCount="74">
  <si>
    <t xml:space="preserve">Streets of Nepal</t>
  </si>
  <si>
    <t xml:space="preserve">Standard Costing Variance Analysis — April 2026</t>
  </si>
  <si>
    <t xml:space="preserve">Prepared by: Sandesh Acharya</t>
  </si>
  <si>
    <t xml:space="preserve">Purpose: Analyze material and labor variances against standard cost cards for four signature dishes, and surface patterns that may indicate operational or control issues.</t>
  </si>
  <si>
    <t xml:space="preserve">Workbook Contents</t>
  </si>
  <si>
    <t xml:space="preserve">Sheet</t>
  </si>
  <si>
    <t xml:space="preserve">Contents</t>
  </si>
  <si>
    <t xml:space="preserve">Standard Cost Cards</t>
  </si>
  <si>
    <t xml:space="preserve">Standard material quantity/price and labor minutes/rate per dish</t>
  </si>
  <si>
    <t xml:space="preserve">Daily Data</t>
  </si>
  <si>
    <t xml:space="preserve">Raw daily order volume and actual material/labor figures</t>
  </si>
  <si>
    <t xml:space="preserve">Variance Calcs</t>
  </si>
  <si>
    <t xml:space="preserve">Formula-driven MPV, MQV, LRV, LEV for every dish-day</t>
  </si>
  <si>
    <t xml:space="preserve">Dashboard</t>
  </si>
  <si>
    <t xml:space="preserve">Monthly summary by dish, conditional formatting, chart, and red-flag callouts</t>
  </si>
  <si>
    <t xml:space="preserve">Color key: Blue = input cell  |  Black = formula  |  Yellow = key assumption  |  Red fill = unfavorable / flagged</t>
  </si>
  <si>
    <t xml:space="preserve">All blue cells are hardcoded standard-cost assumptions, set by management at the start of the period.</t>
  </si>
  <si>
    <t xml:space="preserve">Dish</t>
  </si>
  <si>
    <t xml:space="preserve">Std Material Qty (lb/order)</t>
  </si>
  <si>
    <t xml:space="preserve">Std Material Price ($/lb)</t>
  </si>
  <si>
    <t xml:space="preserve">Std Material Cost/Order</t>
  </si>
  <si>
    <t xml:space="preserve">Std Labor Minutes/Order</t>
  </si>
  <si>
    <t xml:space="preserve">Std Labor Rate ($/hr)</t>
  </si>
  <si>
    <t xml:space="preserve">Std Labor Cost/Order</t>
  </si>
  <si>
    <t xml:space="preserve">Std Total Cost/Order</t>
  </si>
  <si>
    <t xml:space="preserve">Chicken Momos</t>
  </si>
  <si>
    <t xml:space="preserve">Veg Thukpa</t>
  </si>
  <si>
    <t xml:space="preserve">Chow Mein (Chicken)</t>
  </si>
  <si>
    <t xml:space="preserve">Lamb Sekuwa</t>
  </si>
  <si>
    <t xml:space="preserve">Daily Actuals — April 2026 (26 operating days x 4 dishes)</t>
  </si>
  <si>
    <t xml:space="preserve">Source: POS order counts and kitchen/purchasing logs (blue = actual recorded inputs).</t>
  </si>
  <si>
    <t xml:space="preserve">Day</t>
  </si>
  <si>
    <t xml:space="preserve">Orders</t>
  </si>
  <si>
    <t xml:space="preserve">Std Mat Qty/Order</t>
  </si>
  <si>
    <t xml:space="preserve">Std Mat Price</t>
  </si>
  <si>
    <t xml:space="preserve">Actual Mat Price</t>
  </si>
  <si>
    <t xml:space="preserve">Actual Mat Qty/Order</t>
  </si>
  <si>
    <t xml:space="preserve">Std Labor Min/Order</t>
  </si>
  <si>
    <t xml:space="preserve">Std Labor Rate</t>
  </si>
  <si>
    <t xml:space="preserve">Actual Labor Min/Order</t>
  </si>
  <si>
    <t xml:space="preserve">Actual Labor Rate</t>
  </si>
  <si>
    <t xml:space="preserve">Variance Calculations (all formulas; negative = favorable)</t>
  </si>
  <si>
    <t xml:space="preserve">MPV = (Actual Price - Std Price) x Actual Qty   |   MQV = (Actual Qty - Std Qty) x Std Price</t>
  </si>
  <si>
    <t xml:space="preserve">LRV = (Actual Rate - Std Rate) x Actual Hours    |   LEV = (Actual Hours - Std Hours) x Std Rate</t>
  </si>
  <si>
    <t xml:space="preserve">Actual Mat Qty Total</t>
  </si>
  <si>
    <t xml:space="preserve">Std Mat Qty Total</t>
  </si>
  <si>
    <t xml:space="preserve">Actual Labor Hrs Total</t>
  </si>
  <si>
    <t xml:space="preserve">Std Labor Hrs Total</t>
  </si>
  <si>
    <t xml:space="preserve">MPV</t>
  </si>
  <si>
    <t xml:space="preserve">MQV</t>
  </si>
  <si>
    <t xml:space="preserve">LRV</t>
  </si>
  <si>
    <t xml:space="preserve">LEV</t>
  </si>
  <si>
    <t xml:space="preserve">Total Material Var</t>
  </si>
  <si>
    <t xml:space="preserve">Total Labor Var</t>
  </si>
  <si>
    <t xml:space="preserve">Grand Total Var</t>
  </si>
  <si>
    <t xml:space="preserve">Monthly Variance Dashboard — April 2026</t>
  </si>
  <si>
    <t xml:space="preserve">Negative (green) = favorable to standard. Positive (red) = unfavorable to standard.</t>
  </si>
  <si>
    <t xml:space="preserve">Total Orders</t>
  </si>
  <si>
    <t xml:space="preserve">Company Total</t>
  </si>
  <si>
    <t xml:space="preserve">Red Flags Identified (see Audit Memo for full detail)</t>
  </si>
  <si>
    <t xml:space="preserve">Risk</t>
  </si>
  <si>
    <t xml:space="preserve">Test</t>
  </si>
  <si>
    <t xml:space="preserve">Detail</t>
  </si>
  <si>
    <t xml:space="preserve">Medium</t>
  </si>
  <si>
    <t xml:space="preserve">Price Variance Clustering</t>
  </si>
  <si>
    <t xml:space="preserve">Coefficient of variation 0.0114 (unusually tight) with 100% of days favorable, averaging -2.10% vs standard. Real market prices typically show more day-to-day spread; this pattern is more consistent with smoothed or pre-adjusted data than independently sourced vendor invoices.</t>
  </si>
  <si>
    <t xml:space="preserve">Coefficient of variation 0.0040 (unusually tight) with 100% of days favorable, averaging -1.78% vs standard. Real market prices typically show more day-to-day spread; this pattern is more consistent with smoothed or pre-adjusted data than independently sourced vendor invoices.</t>
  </si>
  <si>
    <t xml:space="preserve">Coefficient of variation 0.0036 (unusually tight) with 100% of days favorable, averaging -1.69% vs standard. Real market prices typically show more day-to-day spread; this pattern is more consistent with smoothed or pre-adjusted data than independently sourced vendor invoices.</t>
  </si>
  <si>
    <t xml:space="preserve">Coefficient of variation 0.0048 (unusually tight) with 100% of days favorable, averaging -1.82% vs standard. Real market prices typically show more day-to-day spread; this pattern is more consistent with smoothed or pre-adjusted data than independently sourced vendor invoices.</t>
  </si>
  <si>
    <t xml:space="preserve">High</t>
  </si>
  <si>
    <t xml:space="preserve">Labor Time Consistency</t>
  </si>
  <si>
    <t xml:space="preserve">Day-to-day standard deviation of recorded labor minutes (0.300) is only 60% of the typical spread seen in other dishes (0.497). Real kitchen labor time fluctuates with order complexity, staffing, and volume; this low variability suggests time entries may be estimated, copy-pasted, or pre-filled rather than recorded in real time, which is a labor-tracking control weakness.</t>
  </si>
  <si>
    <t xml:space="preserve">Period-End Shift</t>
  </si>
  <si>
    <t xml:space="preserve">Average variance per order moved from $-0.118 during days 1-23 to $-0.306 during days 24-26, a shift of $-0.189 per order with no corresponding change in volume, staffing, or ingredient sourcing on file. This timing, immediately preceding month-end performance review, is consistent with period-end metric management.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</si>
</sst>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;\(0.000\);\-"/>
    <numFmt numFmtId="166" formatCode="\$#,##0.00;&quot;($&quot;#,##0.00\);\-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E5395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595959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Variance by Dish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Dashboard!H5</c:f>
              <c:strCache>
                <c:ptCount val="1"/>
                <c:pt idx="0">
                  <c:v>Total Material Var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Dashboard!$B$6:$B$9</c:f>
              <c:strCache>
                <c:ptCount val="4"/>
                <c:pt idx="0">
                  <c:v>Chicken Momos</c:v>
                </c:pt>
                <c:pt idx="1">
                  <c:v>Veg Thukpa</c:v>
                </c:pt>
                <c:pt idx="2">
                  <c:v>Chow Mein (Chicken)</c:v>
                </c:pt>
                <c:pt idx="3">
                  <c:v>Lamb Sekuwa</c:v>
                </c:pt>
              </c:strCache>
            </c:strRef>
          </c:cat>
          <c:val>
            <c:numRef>
              <c:f>Dashboard!$H$6:$H$9</c:f>
              <c:numCache>
                <c:formatCode>\$#,##0.00;"($"#,##0.00\);\-</c:formatCode>
                <c:ptCount val="4"/>
                <c:pt idx="0">
                  <c:v>56.7995223000003</c:v>
                </c:pt>
                <c:pt idx="1">
                  <c:v>31.08851669</c:v>
                </c:pt>
                <c:pt idx="2">
                  <c:v>50.1514709199999</c:v>
                </c:pt>
                <c:pt idx="3">
                  <c:v>24.2911028299999</c:v>
                </c:pt>
              </c:numCache>
            </c:numRef>
          </c:val>
        </c:ser>
        <c:ser>
          <c:idx val="1"/>
          <c:order val="1"/>
          <c:tx>
            <c:strRef>
              <c:f>Dashboard!I5</c:f>
              <c:strCache>
                <c:ptCount val="1"/>
                <c:pt idx="0">
                  <c:v>Total Labor Var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Dashboard!$B$6:$B$9</c:f>
              <c:strCache>
                <c:ptCount val="4"/>
                <c:pt idx="0">
                  <c:v>Chicken Momos</c:v>
                </c:pt>
                <c:pt idx="1">
                  <c:v>Veg Thukpa</c:v>
                </c:pt>
                <c:pt idx="2">
                  <c:v>Chow Mein (Chicken)</c:v>
                </c:pt>
                <c:pt idx="3">
                  <c:v>Lamb Sekuwa</c:v>
                </c:pt>
              </c:strCache>
            </c:strRef>
          </c:cat>
          <c:val>
            <c:numRef>
              <c:f>Dashboard!$I$6:$I$9</c:f>
              <c:numCache>
                <c:formatCode>\$#,##0.00;"($"#,##0.00\);\-</c:formatCode>
                <c:ptCount val="4"/>
                <c:pt idx="0">
                  <c:v>-370.6084254865</c:v>
                </c:pt>
                <c:pt idx="1">
                  <c:v>2.35050493200003</c:v>
                </c:pt>
                <c:pt idx="2">
                  <c:v>50.384299598</c:v>
                </c:pt>
                <c:pt idx="3">
                  <c:v>36.7083538871667</c:v>
                </c:pt>
              </c:numCache>
            </c:numRef>
          </c:val>
        </c:ser>
        <c:gapWidth val="150"/>
        <c:overlap val="0"/>
        <c:axId val="99861170"/>
        <c:axId val="48932641"/>
      </c:barChart>
      <c:catAx>
        <c:axId val="998611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32641"/>
        <c:crosses val="autoZero"/>
        <c:auto val="1"/>
        <c:lblAlgn val="ctr"/>
        <c:lblOffset val="100"/>
        <c:noMultiLvlLbl val="0"/>
      </c:catAx>
      <c:valAx>
        <c:axId val="48932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611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39240</xdr:rowOff>
    </xdr:from>
    <xdr:to>
      <xdr:col>6</xdr:col>
      <xdr:colOff>417960</xdr:colOff>
      <xdr:row>27</xdr:row>
      <xdr:rowOff>40680</xdr:rowOff>
    </xdr:to>
    <xdr:graphicFrame>
      <xdr:nvGraphicFramePr>
        <xdr:cNvPr id="0" name="Chart 1"/>
        <xdr:cNvGraphicFramePr/>
      </xdr:nvGraphicFramePr>
      <xdr:xfrm>
        <a:off x="1127880" y="2286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60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5" t="s">
        <v>5</v>
      </c>
      <c r="C10" s="6" t="s">
        <v>6</v>
      </c>
      <c r="D10" s="6"/>
      <c r="E10" s="6"/>
      <c r="F10" s="6"/>
      <c r="G10" s="6"/>
      <c r="H10" s="6"/>
    </row>
    <row r="11" customFormat="false" ht="15" hidden="false" customHeight="false" outlineLevel="0" collapsed="false">
      <c r="B11" s="3" t="s">
        <v>7</v>
      </c>
      <c r="C11" s="7" t="s">
        <v>8</v>
      </c>
      <c r="D11" s="7"/>
      <c r="E11" s="7"/>
      <c r="F11" s="7"/>
      <c r="G11" s="7"/>
      <c r="H11" s="7"/>
    </row>
    <row r="12" customFormat="false" ht="15" hidden="false" customHeight="false" outlineLevel="0" collapsed="false">
      <c r="B12" s="3" t="s">
        <v>9</v>
      </c>
      <c r="C12" s="7" t="s">
        <v>10</v>
      </c>
      <c r="D12" s="7"/>
      <c r="E12" s="7"/>
      <c r="F12" s="7"/>
      <c r="G12" s="7"/>
      <c r="H12" s="7"/>
    </row>
    <row r="13" customFormat="false" ht="15" hidden="false" customHeight="false" outlineLevel="0" collapsed="false">
      <c r="B13" s="3" t="s">
        <v>11</v>
      </c>
      <c r="C13" s="7" t="s">
        <v>12</v>
      </c>
      <c r="D13" s="7"/>
      <c r="E13" s="7"/>
      <c r="F13" s="7"/>
      <c r="G13" s="7"/>
      <c r="H13" s="7"/>
    </row>
    <row r="14" customFormat="false" ht="15" hidden="false" customHeight="false" outlineLevel="0" collapsed="false">
      <c r="B14" s="3" t="s">
        <v>13</v>
      </c>
      <c r="C14" s="7" t="s">
        <v>14</v>
      </c>
      <c r="D14" s="7"/>
      <c r="E14" s="7"/>
      <c r="F14" s="7"/>
      <c r="G14" s="7"/>
      <c r="H14" s="7"/>
    </row>
    <row r="17" customFormat="false" ht="15" hidden="false" customHeight="false" outlineLevel="0" collapsed="false">
      <c r="B17" s="8" t="s">
        <v>15</v>
      </c>
      <c r="C17" s="8"/>
      <c r="D17" s="8"/>
      <c r="E17" s="8"/>
      <c r="F17" s="8"/>
      <c r="G17" s="8"/>
      <c r="H17" s="8"/>
    </row>
  </sheetData>
  <mergeCells count="7">
    <mergeCell ref="B6:H6"/>
    <mergeCell ref="C10:H10"/>
    <mergeCell ref="C11:H11"/>
    <mergeCell ref="C12:H12"/>
    <mergeCell ref="C13:H13"/>
    <mergeCell ref="C14:H14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7" min="7" style="0" width="14"/>
    <col collapsed="false" customWidth="true" hidden="false" outlineLevel="0" max="9" min="8" style="0" width="16"/>
  </cols>
  <sheetData>
    <row r="2" customFormat="false" ht="17.35" hidden="false" customHeight="false" outlineLevel="0" collapsed="false">
      <c r="B2" s="9" t="s">
        <v>7</v>
      </c>
    </row>
    <row r="3" customFormat="false" ht="15" hidden="false" customHeight="false" outlineLevel="0" collapsed="false">
      <c r="B3" s="8" t="s">
        <v>16</v>
      </c>
      <c r="C3" s="8"/>
      <c r="D3" s="8"/>
      <c r="E3" s="8"/>
      <c r="F3" s="8"/>
      <c r="G3" s="8"/>
      <c r="H3" s="8"/>
    </row>
    <row r="5" customFormat="false" ht="26.85" hidden="false" customHeight="false" outlineLevel="0" collapsed="false">
      <c r="B5" s="10" t="s">
        <v>17</v>
      </c>
      <c r="C5" s="10" t="s">
        <v>18</v>
      </c>
      <c r="D5" s="10" t="s">
        <v>19</v>
      </c>
      <c r="E5" s="10" t="s">
        <v>20</v>
      </c>
      <c r="F5" s="10" t="s">
        <v>21</v>
      </c>
      <c r="G5" s="10" t="s">
        <v>22</v>
      </c>
      <c r="H5" s="10" t="s">
        <v>23</v>
      </c>
      <c r="I5" s="10" t="s">
        <v>24</v>
      </c>
    </row>
    <row r="6" customFormat="false" ht="15" hidden="false" customHeight="false" outlineLevel="0" collapsed="false">
      <c r="B6" s="11" t="s">
        <v>25</v>
      </c>
      <c r="C6" s="12" t="n">
        <v>0.35</v>
      </c>
      <c r="D6" s="13" t="n">
        <v>3.8</v>
      </c>
      <c r="E6" s="14" t="n">
        <f aca="false">C6*D6</f>
        <v>1.33</v>
      </c>
      <c r="F6" s="12" t="n">
        <v>6</v>
      </c>
      <c r="G6" s="13" t="n">
        <v>13.5</v>
      </c>
      <c r="H6" s="14" t="n">
        <f aca="false">(F6/60)*G6</f>
        <v>1.35</v>
      </c>
      <c r="I6" s="15" t="n">
        <f aca="false">E6+H6</f>
        <v>2.68</v>
      </c>
    </row>
    <row r="7" customFormat="false" ht="15" hidden="false" customHeight="false" outlineLevel="0" collapsed="false">
      <c r="B7" s="11" t="s">
        <v>26</v>
      </c>
      <c r="C7" s="12" t="n">
        <v>0.6</v>
      </c>
      <c r="D7" s="13" t="n">
        <v>2.1</v>
      </c>
      <c r="E7" s="14" t="n">
        <f aca="false">C7*D7</f>
        <v>1.26</v>
      </c>
      <c r="F7" s="12" t="n">
        <v>8</v>
      </c>
      <c r="G7" s="13" t="n">
        <v>13.5</v>
      </c>
      <c r="H7" s="14" t="n">
        <f aca="false">(F7/60)*G7</f>
        <v>1.8</v>
      </c>
      <c r="I7" s="15" t="n">
        <f aca="false">E7+H7</f>
        <v>3.06</v>
      </c>
    </row>
    <row r="8" customFormat="false" ht="15" hidden="false" customHeight="false" outlineLevel="0" collapsed="false">
      <c r="B8" s="11" t="s">
        <v>27</v>
      </c>
      <c r="C8" s="12" t="n">
        <v>0.5</v>
      </c>
      <c r="D8" s="13" t="n">
        <v>3.2</v>
      </c>
      <c r="E8" s="14" t="n">
        <f aca="false">C8*D8</f>
        <v>1.6</v>
      </c>
      <c r="F8" s="12" t="n">
        <v>7</v>
      </c>
      <c r="G8" s="13" t="n">
        <v>13.5</v>
      </c>
      <c r="H8" s="14" t="n">
        <f aca="false">(F8/60)*G8</f>
        <v>1.575</v>
      </c>
      <c r="I8" s="15" t="n">
        <f aca="false">E8+H8</f>
        <v>3.175</v>
      </c>
    </row>
    <row r="9" customFormat="false" ht="15" hidden="false" customHeight="false" outlineLevel="0" collapsed="false">
      <c r="B9" s="11" t="s">
        <v>28</v>
      </c>
      <c r="C9" s="12" t="n">
        <v>0.45</v>
      </c>
      <c r="D9" s="13" t="n">
        <v>6.5</v>
      </c>
      <c r="E9" s="14" t="n">
        <f aca="false">C9*D9</f>
        <v>2.925</v>
      </c>
      <c r="F9" s="12" t="n">
        <v>10</v>
      </c>
      <c r="G9" s="13" t="n">
        <v>14.5</v>
      </c>
      <c r="H9" s="14" t="n">
        <f aca="false">(F9/60)*G9</f>
        <v>2.41666666666667</v>
      </c>
      <c r="I9" s="15" t="n">
        <f aca="false">E9+H9</f>
        <v>5.34166666666667</v>
      </c>
    </row>
  </sheetData>
  <mergeCells count="1"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6"/>
  </cols>
  <sheetData>
    <row r="1" customFormat="false" ht="17.35" hidden="false" customHeight="false" outlineLevel="0" collapsed="false">
      <c r="A1" s="9" t="s">
        <v>29</v>
      </c>
    </row>
    <row r="2" customFormat="false" ht="15" hidden="false" customHeight="false" outlineLevel="0" collapsed="false">
      <c r="A2" s="16" t="s">
        <v>30</v>
      </c>
    </row>
    <row r="4" customFormat="false" ht="26.85" hidden="false" customHeight="false" outlineLevel="0" collapsed="false">
      <c r="A4" s="10" t="s">
        <v>17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38</v>
      </c>
      <c r="J4" s="10" t="s">
        <v>39</v>
      </c>
      <c r="K4" s="10" t="s">
        <v>40</v>
      </c>
    </row>
    <row r="5" customFormat="false" ht="15" hidden="false" customHeight="false" outlineLevel="0" collapsed="false">
      <c r="A5" s="17" t="s">
        <v>25</v>
      </c>
      <c r="B5" s="17" t="n">
        <v>1</v>
      </c>
      <c r="C5" s="17" t="n">
        <v>90</v>
      </c>
      <c r="D5" s="18" t="n">
        <v>0.35</v>
      </c>
      <c r="E5" s="19" t="n">
        <v>3.8</v>
      </c>
      <c r="F5" s="19" t="n">
        <v>3.7295</v>
      </c>
      <c r="G5" s="18" t="n">
        <v>0.3605</v>
      </c>
      <c r="H5" s="18" t="n">
        <v>6</v>
      </c>
      <c r="I5" s="19" t="n">
        <v>13.5</v>
      </c>
      <c r="J5" s="18" t="n">
        <v>5.6285</v>
      </c>
      <c r="K5" s="19" t="n">
        <v>13.4684</v>
      </c>
    </row>
    <row r="6" customFormat="false" ht="15" hidden="false" customHeight="false" outlineLevel="0" collapsed="false">
      <c r="A6" s="17" t="s">
        <v>25</v>
      </c>
      <c r="B6" s="17" t="n">
        <v>2</v>
      </c>
      <c r="C6" s="17" t="n">
        <v>82</v>
      </c>
      <c r="D6" s="18" t="n">
        <v>0.35</v>
      </c>
      <c r="E6" s="19" t="n">
        <v>3.8</v>
      </c>
      <c r="F6" s="19" t="n">
        <v>3.7556</v>
      </c>
      <c r="G6" s="18" t="n">
        <v>0.362</v>
      </c>
      <c r="H6" s="18" t="n">
        <v>6</v>
      </c>
      <c r="I6" s="19" t="n">
        <v>13.5</v>
      </c>
      <c r="J6" s="18" t="n">
        <v>5.3296</v>
      </c>
      <c r="K6" s="19" t="n">
        <v>13.5732</v>
      </c>
    </row>
    <row r="7" customFormat="false" ht="15" hidden="false" customHeight="false" outlineLevel="0" collapsed="false">
      <c r="A7" s="17" t="s">
        <v>25</v>
      </c>
      <c r="B7" s="17" t="n">
        <v>3</v>
      </c>
      <c r="C7" s="17" t="n">
        <v>80</v>
      </c>
      <c r="D7" s="18" t="n">
        <v>0.35</v>
      </c>
      <c r="E7" s="19" t="n">
        <v>3.8</v>
      </c>
      <c r="F7" s="19" t="n">
        <v>3.7245</v>
      </c>
      <c r="G7" s="18" t="n">
        <v>0.359</v>
      </c>
      <c r="H7" s="18" t="n">
        <v>6</v>
      </c>
      <c r="I7" s="19" t="n">
        <v>13.5</v>
      </c>
      <c r="J7" s="18" t="n">
        <v>5.113</v>
      </c>
      <c r="K7" s="19" t="n">
        <v>13.2671</v>
      </c>
    </row>
    <row r="8" customFormat="false" ht="15" hidden="false" customHeight="false" outlineLevel="0" collapsed="false">
      <c r="A8" s="17" t="s">
        <v>25</v>
      </c>
      <c r="B8" s="17" t="n">
        <v>4</v>
      </c>
      <c r="C8" s="17" t="n">
        <v>79</v>
      </c>
      <c r="D8" s="18" t="n">
        <v>0.35</v>
      </c>
      <c r="E8" s="19" t="n">
        <v>3.8</v>
      </c>
      <c r="F8" s="19" t="n">
        <v>3.7162</v>
      </c>
      <c r="G8" s="18" t="n">
        <v>0.3601</v>
      </c>
      <c r="H8" s="18" t="n">
        <v>6</v>
      </c>
      <c r="I8" s="19" t="n">
        <v>13.5</v>
      </c>
      <c r="J8" s="18" t="n">
        <v>5.2638</v>
      </c>
      <c r="K8" s="19" t="n">
        <v>13.3093</v>
      </c>
    </row>
    <row r="9" customFormat="false" ht="15" hidden="false" customHeight="false" outlineLevel="0" collapsed="false">
      <c r="A9" s="17" t="s">
        <v>25</v>
      </c>
      <c r="B9" s="17" t="n">
        <v>5</v>
      </c>
      <c r="C9" s="17" t="n">
        <v>99</v>
      </c>
      <c r="D9" s="18" t="n">
        <v>0.35</v>
      </c>
      <c r="E9" s="19" t="n">
        <v>3.8</v>
      </c>
      <c r="F9" s="19" t="n">
        <v>3.7282</v>
      </c>
      <c r="G9" s="18" t="n">
        <v>0.3591</v>
      </c>
      <c r="H9" s="18" t="n">
        <v>6</v>
      </c>
      <c r="I9" s="19" t="n">
        <v>13.5</v>
      </c>
      <c r="J9" s="18" t="n">
        <v>5.1863</v>
      </c>
      <c r="K9" s="19" t="n">
        <v>13.4265</v>
      </c>
    </row>
    <row r="10" customFormat="false" ht="15" hidden="false" customHeight="false" outlineLevel="0" collapsed="false">
      <c r="A10" s="17" t="s">
        <v>25</v>
      </c>
      <c r="B10" s="17" t="n">
        <v>6</v>
      </c>
      <c r="C10" s="17" t="n">
        <v>86</v>
      </c>
      <c r="D10" s="18" t="n">
        <v>0.35</v>
      </c>
      <c r="E10" s="19" t="n">
        <v>3.8</v>
      </c>
      <c r="F10" s="19" t="n">
        <v>3.7141</v>
      </c>
      <c r="G10" s="18" t="n">
        <v>0.3619</v>
      </c>
      <c r="H10" s="18" t="n">
        <v>6</v>
      </c>
      <c r="I10" s="19" t="n">
        <v>13.5</v>
      </c>
      <c r="J10" s="18" t="n">
        <v>5.3099</v>
      </c>
      <c r="K10" s="19" t="n">
        <v>13.4606</v>
      </c>
    </row>
    <row r="11" customFormat="false" ht="15" hidden="false" customHeight="false" outlineLevel="0" collapsed="false">
      <c r="A11" s="17" t="s">
        <v>25</v>
      </c>
      <c r="B11" s="17" t="n">
        <v>7</v>
      </c>
      <c r="C11" s="17" t="n">
        <v>78</v>
      </c>
      <c r="D11" s="18" t="n">
        <v>0.35</v>
      </c>
      <c r="E11" s="19" t="n">
        <v>3.8</v>
      </c>
      <c r="F11" s="19" t="n">
        <v>3.7598</v>
      </c>
      <c r="G11" s="18" t="n">
        <v>0.3599</v>
      </c>
      <c r="H11" s="18" t="n">
        <v>6</v>
      </c>
      <c r="I11" s="19" t="n">
        <v>13.5</v>
      </c>
      <c r="J11" s="18" t="n">
        <v>5.2413</v>
      </c>
      <c r="K11" s="19" t="n">
        <v>13.611</v>
      </c>
    </row>
    <row r="12" customFormat="false" ht="15" hidden="false" customHeight="false" outlineLevel="0" collapsed="false">
      <c r="A12" s="17" t="s">
        <v>25</v>
      </c>
      <c r="B12" s="17" t="n">
        <v>8</v>
      </c>
      <c r="C12" s="17" t="n">
        <v>72</v>
      </c>
      <c r="D12" s="18" t="n">
        <v>0.35</v>
      </c>
      <c r="E12" s="19" t="n">
        <v>3.8</v>
      </c>
      <c r="F12" s="19" t="n">
        <v>3.7348</v>
      </c>
      <c r="G12" s="18" t="n">
        <v>0.3469</v>
      </c>
      <c r="H12" s="18" t="n">
        <v>6</v>
      </c>
      <c r="I12" s="19" t="n">
        <v>13.5</v>
      </c>
      <c r="J12" s="18" t="n">
        <v>5.2008</v>
      </c>
      <c r="K12" s="19" t="n">
        <v>13.5266</v>
      </c>
    </row>
    <row r="13" customFormat="false" ht="15" hidden="false" customHeight="false" outlineLevel="0" collapsed="false">
      <c r="A13" s="17" t="s">
        <v>25</v>
      </c>
      <c r="B13" s="17" t="n">
        <v>9</v>
      </c>
      <c r="C13" s="17" t="n">
        <v>92</v>
      </c>
      <c r="D13" s="18" t="n">
        <v>0.35</v>
      </c>
      <c r="E13" s="19" t="n">
        <v>3.8</v>
      </c>
      <c r="F13" s="19" t="n">
        <v>3.7342</v>
      </c>
      <c r="G13" s="18" t="n">
        <v>0.3605</v>
      </c>
      <c r="H13" s="18" t="n">
        <v>6</v>
      </c>
      <c r="I13" s="19" t="n">
        <v>13.5</v>
      </c>
      <c r="J13" s="18" t="n">
        <v>5.3548</v>
      </c>
      <c r="K13" s="19" t="n">
        <v>13.3004</v>
      </c>
    </row>
    <row r="14" customFormat="false" ht="15" hidden="false" customHeight="false" outlineLevel="0" collapsed="false">
      <c r="A14" s="17" t="s">
        <v>25</v>
      </c>
      <c r="B14" s="17" t="n">
        <v>10</v>
      </c>
      <c r="C14" s="17" t="n">
        <v>77</v>
      </c>
      <c r="D14" s="18" t="n">
        <v>0.35</v>
      </c>
      <c r="E14" s="19" t="n">
        <v>3.8</v>
      </c>
      <c r="F14" s="19" t="n">
        <v>3.7246</v>
      </c>
      <c r="G14" s="18" t="n">
        <v>0.3694</v>
      </c>
      <c r="H14" s="18" t="n">
        <v>6</v>
      </c>
      <c r="I14" s="19" t="n">
        <v>13.5</v>
      </c>
      <c r="J14" s="18" t="n">
        <v>5.4515</v>
      </c>
      <c r="K14" s="19" t="n">
        <v>13.262</v>
      </c>
    </row>
    <row r="15" customFormat="false" ht="15" hidden="false" customHeight="false" outlineLevel="0" collapsed="false">
      <c r="A15" s="17" t="s">
        <v>25</v>
      </c>
      <c r="B15" s="17" t="n">
        <v>11</v>
      </c>
      <c r="C15" s="17" t="n">
        <v>88</v>
      </c>
      <c r="D15" s="18" t="n">
        <v>0.35</v>
      </c>
      <c r="E15" s="19" t="n">
        <v>3.8</v>
      </c>
      <c r="F15" s="19" t="n">
        <v>3.7257</v>
      </c>
      <c r="G15" s="18" t="n">
        <v>0.3579</v>
      </c>
      <c r="H15" s="18" t="n">
        <v>6</v>
      </c>
      <c r="I15" s="19" t="n">
        <v>13.5</v>
      </c>
      <c r="J15" s="18" t="n">
        <v>5.4918</v>
      </c>
      <c r="K15" s="19" t="n">
        <v>13.6392</v>
      </c>
    </row>
    <row r="16" customFormat="false" ht="15" hidden="false" customHeight="false" outlineLevel="0" collapsed="false">
      <c r="A16" s="17" t="s">
        <v>25</v>
      </c>
      <c r="B16" s="17" t="n">
        <v>12</v>
      </c>
      <c r="C16" s="17" t="n">
        <v>94</v>
      </c>
      <c r="D16" s="18" t="n">
        <v>0.35</v>
      </c>
      <c r="E16" s="19" t="n">
        <v>3.8</v>
      </c>
      <c r="F16" s="19" t="n">
        <v>3.7188</v>
      </c>
      <c r="G16" s="18" t="n">
        <v>0.3612</v>
      </c>
      <c r="H16" s="18" t="n">
        <v>6</v>
      </c>
      <c r="I16" s="19" t="n">
        <v>13.5</v>
      </c>
      <c r="J16" s="18" t="n">
        <v>5.4497</v>
      </c>
      <c r="K16" s="19" t="n">
        <v>13.6317</v>
      </c>
    </row>
    <row r="17" customFormat="false" ht="15" hidden="false" customHeight="false" outlineLevel="0" collapsed="false">
      <c r="A17" s="17" t="s">
        <v>25</v>
      </c>
      <c r="B17" s="17" t="n">
        <v>13</v>
      </c>
      <c r="C17" s="17" t="n">
        <v>80</v>
      </c>
      <c r="D17" s="18" t="n">
        <v>0.35</v>
      </c>
      <c r="E17" s="19" t="n">
        <v>3.8</v>
      </c>
      <c r="F17" s="19" t="n">
        <v>3.7288</v>
      </c>
      <c r="G17" s="18" t="n">
        <v>0.3563</v>
      </c>
      <c r="H17" s="18" t="n">
        <v>6</v>
      </c>
      <c r="I17" s="19" t="n">
        <v>13.5</v>
      </c>
      <c r="J17" s="18" t="n">
        <v>5.2206</v>
      </c>
      <c r="K17" s="19" t="n">
        <v>13.6097</v>
      </c>
    </row>
    <row r="18" customFormat="false" ht="15" hidden="false" customHeight="false" outlineLevel="0" collapsed="false">
      <c r="A18" s="17" t="s">
        <v>25</v>
      </c>
      <c r="B18" s="17" t="n">
        <v>14</v>
      </c>
      <c r="C18" s="17" t="n">
        <v>98</v>
      </c>
      <c r="D18" s="18" t="n">
        <v>0.35</v>
      </c>
      <c r="E18" s="19" t="n">
        <v>3.8</v>
      </c>
      <c r="F18" s="19" t="n">
        <v>3.7305</v>
      </c>
      <c r="G18" s="18" t="n">
        <v>0.3717</v>
      </c>
      <c r="H18" s="18" t="n">
        <v>6</v>
      </c>
      <c r="I18" s="19" t="n">
        <v>13.5</v>
      </c>
      <c r="J18" s="18" t="n">
        <v>5.4542</v>
      </c>
      <c r="K18" s="19" t="n">
        <v>13.4129</v>
      </c>
    </row>
    <row r="19" customFormat="false" ht="15" hidden="false" customHeight="false" outlineLevel="0" collapsed="false">
      <c r="A19" s="17" t="s">
        <v>25</v>
      </c>
      <c r="B19" s="17" t="n">
        <v>15</v>
      </c>
      <c r="C19" s="17" t="n">
        <v>88</v>
      </c>
      <c r="D19" s="18" t="n">
        <v>0.35</v>
      </c>
      <c r="E19" s="19" t="n">
        <v>3.8</v>
      </c>
      <c r="F19" s="19" t="n">
        <v>3.755</v>
      </c>
      <c r="G19" s="18" t="n">
        <v>0.3651</v>
      </c>
      <c r="H19" s="18" t="n">
        <v>6</v>
      </c>
      <c r="I19" s="19" t="n">
        <v>13.5</v>
      </c>
      <c r="J19" s="18" t="n">
        <v>5.6347</v>
      </c>
      <c r="K19" s="19" t="n">
        <v>13.1463</v>
      </c>
    </row>
    <row r="20" customFormat="false" ht="15" hidden="false" customHeight="false" outlineLevel="0" collapsed="false">
      <c r="A20" s="17" t="s">
        <v>25</v>
      </c>
      <c r="B20" s="17" t="n">
        <v>16</v>
      </c>
      <c r="C20" s="17" t="n">
        <v>93</v>
      </c>
      <c r="D20" s="18" t="n">
        <v>0.35</v>
      </c>
      <c r="E20" s="19" t="n">
        <v>3.8</v>
      </c>
      <c r="F20" s="19" t="n">
        <v>3.7329</v>
      </c>
      <c r="G20" s="18" t="n">
        <v>0.3639</v>
      </c>
      <c r="H20" s="18" t="n">
        <v>6</v>
      </c>
      <c r="I20" s="19" t="n">
        <v>13.5</v>
      </c>
      <c r="J20" s="18" t="n">
        <v>5.4138</v>
      </c>
      <c r="K20" s="19" t="n">
        <v>13.2317</v>
      </c>
    </row>
    <row r="21" customFormat="false" ht="15" hidden="false" customHeight="false" outlineLevel="0" collapsed="false">
      <c r="A21" s="17" t="s">
        <v>25</v>
      </c>
      <c r="B21" s="17" t="n">
        <v>17</v>
      </c>
      <c r="C21" s="17" t="n">
        <v>82</v>
      </c>
      <c r="D21" s="18" t="n">
        <v>0.35</v>
      </c>
      <c r="E21" s="19" t="n">
        <v>3.8</v>
      </c>
      <c r="F21" s="19" t="n">
        <v>3.737</v>
      </c>
      <c r="G21" s="18" t="n">
        <v>0.377</v>
      </c>
      <c r="H21" s="18" t="n">
        <v>6</v>
      </c>
      <c r="I21" s="19" t="n">
        <v>13.5</v>
      </c>
      <c r="J21" s="18" t="n">
        <v>5.3223</v>
      </c>
      <c r="K21" s="19" t="n">
        <v>13.3909</v>
      </c>
    </row>
    <row r="22" customFormat="false" ht="15" hidden="false" customHeight="false" outlineLevel="0" collapsed="false">
      <c r="A22" s="17" t="s">
        <v>25</v>
      </c>
      <c r="B22" s="17" t="n">
        <v>18</v>
      </c>
      <c r="C22" s="17" t="n">
        <v>79</v>
      </c>
      <c r="D22" s="18" t="n">
        <v>0.35</v>
      </c>
      <c r="E22" s="19" t="n">
        <v>3.8</v>
      </c>
      <c r="F22" s="19" t="n">
        <v>3.7455</v>
      </c>
      <c r="G22" s="18" t="n">
        <v>0.3697</v>
      </c>
      <c r="H22" s="18" t="n">
        <v>6</v>
      </c>
      <c r="I22" s="19" t="n">
        <v>13.5</v>
      </c>
      <c r="J22" s="18" t="n">
        <v>5.3205</v>
      </c>
      <c r="K22" s="19" t="n">
        <v>13.5693</v>
      </c>
    </row>
    <row r="23" customFormat="false" ht="15" hidden="false" customHeight="false" outlineLevel="0" collapsed="false">
      <c r="A23" s="17" t="s">
        <v>25</v>
      </c>
      <c r="B23" s="17" t="n">
        <v>19</v>
      </c>
      <c r="C23" s="17" t="n">
        <v>85</v>
      </c>
      <c r="D23" s="18" t="n">
        <v>0.35</v>
      </c>
      <c r="E23" s="19" t="n">
        <v>3.8</v>
      </c>
      <c r="F23" s="19" t="n">
        <v>3.7463</v>
      </c>
      <c r="G23" s="18" t="n">
        <v>0.3631</v>
      </c>
      <c r="H23" s="18" t="n">
        <v>6</v>
      </c>
      <c r="I23" s="19" t="n">
        <v>13.5</v>
      </c>
      <c r="J23" s="18" t="n">
        <v>5.3509</v>
      </c>
      <c r="K23" s="19" t="n">
        <v>13.4471</v>
      </c>
    </row>
    <row r="24" customFormat="false" ht="15" hidden="false" customHeight="false" outlineLevel="0" collapsed="false">
      <c r="A24" s="17" t="s">
        <v>25</v>
      </c>
      <c r="B24" s="17" t="n">
        <v>20</v>
      </c>
      <c r="C24" s="17" t="n">
        <v>70</v>
      </c>
      <c r="D24" s="18" t="n">
        <v>0.35</v>
      </c>
      <c r="E24" s="19" t="n">
        <v>3.8</v>
      </c>
      <c r="F24" s="19" t="n">
        <v>3.7361</v>
      </c>
      <c r="G24" s="18" t="n">
        <v>0.3705</v>
      </c>
      <c r="H24" s="18" t="n">
        <v>6</v>
      </c>
      <c r="I24" s="19" t="n">
        <v>13.5</v>
      </c>
      <c r="J24" s="18" t="n">
        <v>5.4008</v>
      </c>
      <c r="K24" s="19" t="n">
        <v>13.4683</v>
      </c>
    </row>
    <row r="25" customFormat="false" ht="15" hidden="false" customHeight="false" outlineLevel="0" collapsed="false">
      <c r="A25" s="17" t="s">
        <v>25</v>
      </c>
      <c r="B25" s="17" t="n">
        <v>21</v>
      </c>
      <c r="C25" s="17" t="n">
        <v>70</v>
      </c>
      <c r="D25" s="18" t="n">
        <v>0.35</v>
      </c>
      <c r="E25" s="19" t="n">
        <v>3.8</v>
      </c>
      <c r="F25" s="19" t="n">
        <v>3.7252</v>
      </c>
      <c r="G25" s="18" t="n">
        <v>0.367</v>
      </c>
      <c r="H25" s="18" t="n">
        <v>6</v>
      </c>
      <c r="I25" s="19" t="n">
        <v>13.5</v>
      </c>
      <c r="J25" s="18" t="n">
        <v>5.2797</v>
      </c>
      <c r="K25" s="19" t="n">
        <v>13.4782</v>
      </c>
    </row>
    <row r="26" customFormat="false" ht="15" hidden="false" customHeight="false" outlineLevel="0" collapsed="false">
      <c r="A26" s="17" t="s">
        <v>25</v>
      </c>
      <c r="B26" s="17" t="n">
        <v>22</v>
      </c>
      <c r="C26" s="17" t="n">
        <v>89</v>
      </c>
      <c r="D26" s="18" t="n">
        <v>0.35</v>
      </c>
      <c r="E26" s="19" t="n">
        <v>3.8</v>
      </c>
      <c r="F26" s="19" t="n">
        <v>3.7603</v>
      </c>
      <c r="G26" s="18" t="n">
        <v>0.3713</v>
      </c>
      <c r="H26" s="18" t="n">
        <v>6</v>
      </c>
      <c r="I26" s="19" t="n">
        <v>13.5</v>
      </c>
      <c r="J26" s="18" t="n">
        <v>5.4386</v>
      </c>
      <c r="K26" s="19" t="n">
        <v>13.4899</v>
      </c>
    </row>
    <row r="27" customFormat="false" ht="15" hidden="false" customHeight="false" outlineLevel="0" collapsed="false">
      <c r="A27" s="17" t="s">
        <v>25</v>
      </c>
      <c r="B27" s="17" t="n">
        <v>23</v>
      </c>
      <c r="C27" s="17" t="n">
        <v>65</v>
      </c>
      <c r="D27" s="18" t="n">
        <v>0.35</v>
      </c>
      <c r="E27" s="19" t="n">
        <v>3.8</v>
      </c>
      <c r="F27" s="19" t="n">
        <v>3.7312</v>
      </c>
      <c r="G27" s="18" t="n">
        <v>0.3712</v>
      </c>
      <c r="H27" s="18" t="n">
        <v>6</v>
      </c>
      <c r="I27" s="19" t="n">
        <v>13.5</v>
      </c>
      <c r="J27" s="18" t="n">
        <v>5.7695</v>
      </c>
      <c r="K27" s="19" t="n">
        <v>13.474</v>
      </c>
    </row>
    <row r="28" customFormat="false" ht="15" hidden="false" customHeight="false" outlineLevel="0" collapsed="false">
      <c r="A28" s="17" t="s">
        <v>25</v>
      </c>
      <c r="B28" s="17" t="n">
        <v>24</v>
      </c>
      <c r="C28" s="17" t="n">
        <v>88</v>
      </c>
      <c r="D28" s="18" t="n">
        <v>0.35</v>
      </c>
      <c r="E28" s="19" t="n">
        <v>3.8</v>
      </c>
      <c r="F28" s="19" t="n">
        <v>3.6191</v>
      </c>
      <c r="G28" s="18" t="n">
        <v>0.3632</v>
      </c>
      <c r="H28" s="18" t="n">
        <v>6</v>
      </c>
      <c r="I28" s="19" t="n">
        <v>13.5</v>
      </c>
      <c r="J28" s="18" t="n">
        <v>4.7357</v>
      </c>
      <c r="K28" s="19" t="n">
        <v>13.6015</v>
      </c>
    </row>
    <row r="29" customFormat="false" ht="15" hidden="false" customHeight="false" outlineLevel="0" collapsed="false">
      <c r="A29" s="17" t="s">
        <v>25</v>
      </c>
      <c r="B29" s="17" t="n">
        <v>25</v>
      </c>
      <c r="C29" s="17" t="n">
        <v>93</v>
      </c>
      <c r="D29" s="18" t="n">
        <v>0.35</v>
      </c>
      <c r="E29" s="19" t="n">
        <v>3.8</v>
      </c>
      <c r="F29" s="19" t="n">
        <v>3.6062</v>
      </c>
      <c r="G29" s="18" t="n">
        <v>0.3819</v>
      </c>
      <c r="H29" s="18" t="n">
        <v>6</v>
      </c>
      <c r="I29" s="19" t="n">
        <v>13.5</v>
      </c>
      <c r="J29" s="18" t="n">
        <v>4.4113</v>
      </c>
      <c r="K29" s="19" t="n">
        <v>13.5792</v>
      </c>
    </row>
    <row r="30" customFormat="false" ht="15" hidden="false" customHeight="false" outlineLevel="0" collapsed="false">
      <c r="A30" s="17" t="s">
        <v>25</v>
      </c>
      <c r="B30" s="17" t="n">
        <v>26</v>
      </c>
      <c r="C30" s="17" t="n">
        <v>107</v>
      </c>
      <c r="D30" s="18" t="n">
        <v>0.35</v>
      </c>
      <c r="E30" s="19" t="n">
        <v>3.8</v>
      </c>
      <c r="F30" s="19" t="n">
        <v>3.605</v>
      </c>
      <c r="G30" s="18" t="n">
        <v>0.3688</v>
      </c>
      <c r="H30" s="18" t="n">
        <v>6</v>
      </c>
      <c r="I30" s="19" t="n">
        <v>13.5</v>
      </c>
      <c r="J30" s="18" t="n">
        <v>4.6027</v>
      </c>
      <c r="K30" s="19" t="n">
        <v>13.432</v>
      </c>
    </row>
    <row r="31" customFormat="false" ht="15" hidden="false" customHeight="false" outlineLevel="0" collapsed="false">
      <c r="A31" s="17" t="s">
        <v>26</v>
      </c>
      <c r="B31" s="17" t="n">
        <v>1</v>
      </c>
      <c r="C31" s="17" t="n">
        <v>32</v>
      </c>
      <c r="D31" s="18" t="n">
        <v>0.6</v>
      </c>
      <c r="E31" s="19" t="n">
        <v>2.1</v>
      </c>
      <c r="F31" s="19" t="n">
        <v>2.0628</v>
      </c>
      <c r="G31" s="18" t="n">
        <v>0.5974</v>
      </c>
      <c r="H31" s="18" t="n">
        <v>8</v>
      </c>
      <c r="I31" s="19" t="n">
        <v>13.5</v>
      </c>
      <c r="J31" s="18" t="n">
        <v>8.2842</v>
      </c>
      <c r="K31" s="19" t="n">
        <v>13.3759</v>
      </c>
    </row>
    <row r="32" customFormat="false" ht="15" hidden="false" customHeight="false" outlineLevel="0" collapsed="false">
      <c r="A32" s="17" t="s">
        <v>26</v>
      </c>
      <c r="B32" s="17" t="n">
        <v>2</v>
      </c>
      <c r="C32" s="17" t="n">
        <v>47</v>
      </c>
      <c r="D32" s="18" t="n">
        <v>0.6</v>
      </c>
      <c r="E32" s="19" t="n">
        <v>2.1</v>
      </c>
      <c r="F32" s="19" t="n">
        <v>2.0556</v>
      </c>
      <c r="G32" s="18" t="n">
        <v>0.6074</v>
      </c>
      <c r="H32" s="18" t="n">
        <v>8</v>
      </c>
      <c r="I32" s="19" t="n">
        <v>13.5</v>
      </c>
      <c r="J32" s="18" t="n">
        <v>8.4881</v>
      </c>
      <c r="K32" s="19" t="n">
        <v>13.3338</v>
      </c>
    </row>
    <row r="33" customFormat="false" ht="15" hidden="false" customHeight="false" outlineLevel="0" collapsed="false">
      <c r="A33" s="17" t="s">
        <v>26</v>
      </c>
      <c r="B33" s="17" t="n">
        <v>3</v>
      </c>
      <c r="C33" s="17" t="n">
        <v>41</v>
      </c>
      <c r="D33" s="18" t="n">
        <v>0.6</v>
      </c>
      <c r="E33" s="19" t="n">
        <v>2.1</v>
      </c>
      <c r="F33" s="19" t="n">
        <v>2.0732</v>
      </c>
      <c r="G33" s="18" t="n">
        <v>0.5932</v>
      </c>
      <c r="H33" s="18" t="n">
        <v>8</v>
      </c>
      <c r="I33" s="19" t="n">
        <v>13.5</v>
      </c>
      <c r="J33" s="18" t="n">
        <v>8.1108</v>
      </c>
      <c r="K33" s="19" t="n">
        <v>13.5351</v>
      </c>
    </row>
    <row r="34" customFormat="false" ht="15" hidden="false" customHeight="false" outlineLevel="0" collapsed="false">
      <c r="A34" s="17" t="s">
        <v>26</v>
      </c>
      <c r="B34" s="17" t="n">
        <v>4</v>
      </c>
      <c r="C34" s="17" t="n">
        <v>43</v>
      </c>
      <c r="D34" s="18" t="n">
        <v>0.6</v>
      </c>
      <c r="E34" s="19" t="n">
        <v>2.1</v>
      </c>
      <c r="F34" s="19" t="n">
        <v>2.0518</v>
      </c>
      <c r="G34" s="18" t="n">
        <v>0.5978</v>
      </c>
      <c r="H34" s="18" t="n">
        <v>8</v>
      </c>
      <c r="I34" s="19" t="n">
        <v>13.5</v>
      </c>
      <c r="J34" s="18" t="n">
        <v>8.3132</v>
      </c>
      <c r="K34" s="19" t="n">
        <v>13.5401</v>
      </c>
    </row>
    <row r="35" customFormat="false" ht="15" hidden="false" customHeight="false" outlineLevel="0" collapsed="false">
      <c r="A35" s="17" t="s">
        <v>26</v>
      </c>
      <c r="B35" s="17" t="n">
        <v>5</v>
      </c>
      <c r="C35" s="17" t="n">
        <v>41</v>
      </c>
      <c r="D35" s="18" t="n">
        <v>0.6</v>
      </c>
      <c r="E35" s="19" t="n">
        <v>2.1</v>
      </c>
      <c r="F35" s="19" t="n">
        <v>2.0651</v>
      </c>
      <c r="G35" s="18" t="n">
        <v>0.6066</v>
      </c>
      <c r="H35" s="18" t="n">
        <v>8</v>
      </c>
      <c r="I35" s="19" t="n">
        <v>13.5</v>
      </c>
      <c r="J35" s="18" t="n">
        <v>8.1394</v>
      </c>
      <c r="K35" s="19" t="n">
        <v>13.5396</v>
      </c>
    </row>
    <row r="36" customFormat="false" ht="15" hidden="false" customHeight="false" outlineLevel="0" collapsed="false">
      <c r="A36" s="17" t="s">
        <v>26</v>
      </c>
      <c r="B36" s="17" t="n">
        <v>6</v>
      </c>
      <c r="C36" s="17" t="n">
        <v>36</v>
      </c>
      <c r="D36" s="18" t="n">
        <v>0.6</v>
      </c>
      <c r="E36" s="19" t="n">
        <v>2.1</v>
      </c>
      <c r="F36" s="19" t="n">
        <v>2.0779</v>
      </c>
      <c r="G36" s="18" t="n">
        <v>0.6216</v>
      </c>
      <c r="H36" s="18" t="n">
        <v>8</v>
      </c>
      <c r="I36" s="19" t="n">
        <v>13.5</v>
      </c>
      <c r="J36" s="18" t="n">
        <v>7.2852</v>
      </c>
      <c r="K36" s="19" t="n">
        <v>13.5886</v>
      </c>
    </row>
    <row r="37" customFormat="false" ht="15" hidden="false" customHeight="false" outlineLevel="0" collapsed="false">
      <c r="A37" s="17" t="s">
        <v>26</v>
      </c>
      <c r="B37" s="17" t="n">
        <v>7</v>
      </c>
      <c r="C37" s="17" t="n">
        <v>35</v>
      </c>
      <c r="D37" s="18" t="n">
        <v>0.6</v>
      </c>
      <c r="E37" s="19" t="n">
        <v>2.1</v>
      </c>
      <c r="F37" s="19" t="n">
        <v>2.0688</v>
      </c>
      <c r="G37" s="18" t="n">
        <v>0.631</v>
      </c>
      <c r="H37" s="18" t="n">
        <v>8</v>
      </c>
      <c r="I37" s="19" t="n">
        <v>13.5</v>
      </c>
      <c r="J37" s="18" t="n">
        <v>7.5076</v>
      </c>
      <c r="K37" s="19" t="n">
        <v>13.6301</v>
      </c>
    </row>
    <row r="38" customFormat="false" ht="15" hidden="false" customHeight="false" outlineLevel="0" collapsed="false">
      <c r="A38" s="17" t="s">
        <v>26</v>
      </c>
      <c r="B38" s="17" t="n">
        <v>8</v>
      </c>
      <c r="C38" s="17" t="n">
        <v>41</v>
      </c>
      <c r="D38" s="18" t="n">
        <v>0.6</v>
      </c>
      <c r="E38" s="19" t="n">
        <v>2.1</v>
      </c>
      <c r="F38" s="19" t="n">
        <v>2.0691</v>
      </c>
      <c r="G38" s="18" t="n">
        <v>0.641</v>
      </c>
      <c r="H38" s="18" t="n">
        <v>8</v>
      </c>
      <c r="I38" s="19" t="n">
        <v>13.5</v>
      </c>
      <c r="J38" s="18" t="n">
        <v>7.8528</v>
      </c>
      <c r="K38" s="19" t="n">
        <v>13.3982</v>
      </c>
    </row>
    <row r="39" customFormat="false" ht="15" hidden="false" customHeight="false" outlineLevel="0" collapsed="false">
      <c r="A39" s="17" t="s">
        <v>26</v>
      </c>
      <c r="B39" s="17" t="n">
        <v>9</v>
      </c>
      <c r="C39" s="17" t="n">
        <v>35</v>
      </c>
      <c r="D39" s="18" t="n">
        <v>0.6</v>
      </c>
      <c r="E39" s="19" t="n">
        <v>2.1</v>
      </c>
      <c r="F39" s="19" t="n">
        <v>2.0553</v>
      </c>
      <c r="G39" s="18" t="n">
        <v>0.6185</v>
      </c>
      <c r="H39" s="18" t="n">
        <v>8</v>
      </c>
      <c r="I39" s="19" t="n">
        <v>13.5</v>
      </c>
      <c r="J39" s="18" t="n">
        <v>8.2047</v>
      </c>
      <c r="K39" s="19" t="n">
        <v>13.5374</v>
      </c>
    </row>
    <row r="40" customFormat="false" ht="15" hidden="false" customHeight="false" outlineLevel="0" collapsed="false">
      <c r="A40" s="17" t="s">
        <v>26</v>
      </c>
      <c r="B40" s="17" t="n">
        <v>10</v>
      </c>
      <c r="C40" s="17" t="n">
        <v>43</v>
      </c>
      <c r="D40" s="18" t="n">
        <v>0.6</v>
      </c>
      <c r="E40" s="19" t="n">
        <v>2.1</v>
      </c>
      <c r="F40" s="19" t="n">
        <v>2.0623</v>
      </c>
      <c r="G40" s="18" t="n">
        <v>0.638</v>
      </c>
      <c r="H40" s="18" t="n">
        <v>8</v>
      </c>
      <c r="I40" s="19" t="n">
        <v>13.5</v>
      </c>
      <c r="J40" s="18" t="n">
        <v>7.8412</v>
      </c>
      <c r="K40" s="19" t="n">
        <v>13.8672</v>
      </c>
    </row>
    <row r="41" customFormat="false" ht="15" hidden="false" customHeight="false" outlineLevel="0" collapsed="false">
      <c r="A41" s="17" t="s">
        <v>26</v>
      </c>
      <c r="B41" s="17" t="n">
        <v>11</v>
      </c>
      <c r="C41" s="17" t="n">
        <v>43</v>
      </c>
      <c r="D41" s="18" t="n">
        <v>0.6</v>
      </c>
      <c r="E41" s="19" t="n">
        <v>2.1</v>
      </c>
      <c r="F41" s="19" t="n">
        <v>2.055</v>
      </c>
      <c r="G41" s="18" t="n">
        <v>0.6088</v>
      </c>
      <c r="H41" s="18" t="n">
        <v>8</v>
      </c>
      <c r="I41" s="19" t="n">
        <v>13.5</v>
      </c>
      <c r="J41" s="18" t="n">
        <v>8.2895</v>
      </c>
      <c r="K41" s="19" t="n">
        <v>13.4698</v>
      </c>
    </row>
    <row r="42" customFormat="false" ht="15" hidden="false" customHeight="false" outlineLevel="0" collapsed="false">
      <c r="A42" s="17" t="s">
        <v>26</v>
      </c>
      <c r="B42" s="17" t="n">
        <v>12</v>
      </c>
      <c r="C42" s="17" t="n">
        <v>43</v>
      </c>
      <c r="D42" s="18" t="n">
        <v>0.6</v>
      </c>
      <c r="E42" s="19" t="n">
        <v>2.1</v>
      </c>
      <c r="F42" s="19" t="n">
        <v>2.0662</v>
      </c>
      <c r="G42" s="18" t="n">
        <v>0.622</v>
      </c>
      <c r="H42" s="18" t="n">
        <v>8</v>
      </c>
      <c r="I42" s="19" t="n">
        <v>13.5</v>
      </c>
      <c r="J42" s="18" t="n">
        <v>7.4919</v>
      </c>
      <c r="K42" s="19" t="n">
        <v>13.2955</v>
      </c>
    </row>
    <row r="43" customFormat="false" ht="15" hidden="false" customHeight="false" outlineLevel="0" collapsed="false">
      <c r="A43" s="17" t="s">
        <v>26</v>
      </c>
      <c r="B43" s="17" t="n">
        <v>13</v>
      </c>
      <c r="C43" s="17" t="n">
        <v>37</v>
      </c>
      <c r="D43" s="18" t="n">
        <v>0.6</v>
      </c>
      <c r="E43" s="19" t="n">
        <v>2.1</v>
      </c>
      <c r="F43" s="19" t="n">
        <v>2.0694</v>
      </c>
      <c r="G43" s="18" t="n">
        <v>0.6266</v>
      </c>
      <c r="H43" s="18" t="n">
        <v>8</v>
      </c>
      <c r="I43" s="19" t="n">
        <v>13.5</v>
      </c>
      <c r="J43" s="18" t="n">
        <v>7.2526</v>
      </c>
      <c r="K43" s="19" t="n">
        <v>13.5234</v>
      </c>
    </row>
    <row r="44" customFormat="false" ht="15" hidden="false" customHeight="false" outlineLevel="0" collapsed="false">
      <c r="A44" s="17" t="s">
        <v>26</v>
      </c>
      <c r="B44" s="17" t="n">
        <v>14</v>
      </c>
      <c r="C44" s="17" t="n">
        <v>41</v>
      </c>
      <c r="D44" s="18" t="n">
        <v>0.6</v>
      </c>
      <c r="E44" s="19" t="n">
        <v>2.1</v>
      </c>
      <c r="F44" s="19" t="n">
        <v>2.0548</v>
      </c>
      <c r="G44" s="18" t="n">
        <v>0.627</v>
      </c>
      <c r="H44" s="18" t="n">
        <v>8</v>
      </c>
      <c r="I44" s="19" t="n">
        <v>13.5</v>
      </c>
      <c r="J44" s="18" t="n">
        <v>8.0349</v>
      </c>
      <c r="K44" s="19" t="n">
        <v>13.3457</v>
      </c>
    </row>
    <row r="45" customFormat="false" ht="15" hidden="false" customHeight="false" outlineLevel="0" collapsed="false">
      <c r="A45" s="17" t="s">
        <v>26</v>
      </c>
      <c r="B45" s="17" t="n">
        <v>15</v>
      </c>
      <c r="C45" s="17" t="n">
        <v>41</v>
      </c>
      <c r="D45" s="18" t="n">
        <v>0.6</v>
      </c>
      <c r="E45" s="19" t="n">
        <v>2.1</v>
      </c>
      <c r="F45" s="19" t="n">
        <v>2.0669</v>
      </c>
      <c r="G45" s="18" t="n">
        <v>0.6393</v>
      </c>
      <c r="H45" s="18" t="n">
        <v>8</v>
      </c>
      <c r="I45" s="19" t="n">
        <v>13.5</v>
      </c>
      <c r="J45" s="18" t="n">
        <v>8.6323</v>
      </c>
      <c r="K45" s="19" t="n">
        <v>13.314</v>
      </c>
    </row>
    <row r="46" customFormat="false" ht="15" hidden="false" customHeight="false" outlineLevel="0" collapsed="false">
      <c r="A46" s="17" t="s">
        <v>26</v>
      </c>
      <c r="B46" s="17" t="n">
        <v>16</v>
      </c>
      <c r="C46" s="17" t="n">
        <v>35</v>
      </c>
      <c r="D46" s="18" t="n">
        <v>0.6</v>
      </c>
      <c r="E46" s="19" t="n">
        <v>2.1</v>
      </c>
      <c r="F46" s="19" t="n">
        <v>2.0665</v>
      </c>
      <c r="G46" s="18" t="n">
        <v>0.6336</v>
      </c>
      <c r="H46" s="18" t="n">
        <v>8</v>
      </c>
      <c r="I46" s="19" t="n">
        <v>13.5</v>
      </c>
      <c r="J46" s="18" t="n">
        <v>8.309</v>
      </c>
      <c r="K46" s="19" t="n">
        <v>14.0201</v>
      </c>
    </row>
    <row r="47" customFormat="false" ht="15" hidden="false" customHeight="false" outlineLevel="0" collapsed="false">
      <c r="A47" s="17" t="s">
        <v>26</v>
      </c>
      <c r="B47" s="17" t="n">
        <v>17</v>
      </c>
      <c r="C47" s="17" t="n">
        <v>42</v>
      </c>
      <c r="D47" s="18" t="n">
        <v>0.6</v>
      </c>
      <c r="E47" s="19" t="n">
        <v>2.1</v>
      </c>
      <c r="F47" s="19" t="n">
        <v>2.0717</v>
      </c>
      <c r="G47" s="18" t="n">
        <v>0.6401</v>
      </c>
      <c r="H47" s="18" t="n">
        <v>8</v>
      </c>
      <c r="I47" s="19" t="n">
        <v>13.5</v>
      </c>
      <c r="J47" s="18" t="n">
        <v>8.3908</v>
      </c>
      <c r="K47" s="19" t="n">
        <v>13.4574</v>
      </c>
    </row>
    <row r="48" customFormat="false" ht="15" hidden="false" customHeight="false" outlineLevel="0" collapsed="false">
      <c r="A48" s="17" t="s">
        <v>26</v>
      </c>
      <c r="B48" s="17" t="n">
        <v>18</v>
      </c>
      <c r="C48" s="17" t="n">
        <v>43</v>
      </c>
      <c r="D48" s="18" t="n">
        <v>0.6</v>
      </c>
      <c r="E48" s="19" t="n">
        <v>2.1</v>
      </c>
      <c r="F48" s="19" t="n">
        <v>2.0557</v>
      </c>
      <c r="G48" s="18" t="n">
        <v>0.6269</v>
      </c>
      <c r="H48" s="18" t="n">
        <v>8</v>
      </c>
      <c r="I48" s="19" t="n">
        <v>13.5</v>
      </c>
      <c r="J48" s="18" t="n">
        <v>7.7088</v>
      </c>
      <c r="K48" s="19" t="n">
        <v>13.5111</v>
      </c>
    </row>
    <row r="49" customFormat="false" ht="15" hidden="false" customHeight="false" outlineLevel="0" collapsed="false">
      <c r="A49" s="17" t="s">
        <v>26</v>
      </c>
      <c r="B49" s="17" t="n">
        <v>19</v>
      </c>
      <c r="C49" s="17" t="n">
        <v>51</v>
      </c>
      <c r="D49" s="18" t="n">
        <v>0.6</v>
      </c>
      <c r="E49" s="19" t="n">
        <v>2.1</v>
      </c>
      <c r="F49" s="19" t="n">
        <v>2.0465</v>
      </c>
      <c r="G49" s="18" t="n">
        <v>0.6392</v>
      </c>
      <c r="H49" s="18" t="n">
        <v>8</v>
      </c>
      <c r="I49" s="19" t="n">
        <v>13.5</v>
      </c>
      <c r="J49" s="18" t="n">
        <v>7.0324</v>
      </c>
      <c r="K49" s="19" t="n">
        <v>13.4363</v>
      </c>
    </row>
    <row r="50" customFormat="false" ht="15" hidden="false" customHeight="false" outlineLevel="0" collapsed="false">
      <c r="A50" s="17" t="s">
        <v>26</v>
      </c>
      <c r="B50" s="17" t="n">
        <v>20</v>
      </c>
      <c r="C50" s="17" t="n">
        <v>45</v>
      </c>
      <c r="D50" s="18" t="n">
        <v>0.6</v>
      </c>
      <c r="E50" s="19" t="n">
        <v>2.1</v>
      </c>
      <c r="F50" s="19" t="n">
        <v>2.0627</v>
      </c>
      <c r="G50" s="18" t="n">
        <v>0.6191</v>
      </c>
      <c r="H50" s="18" t="n">
        <v>8</v>
      </c>
      <c r="I50" s="19" t="n">
        <v>13.5</v>
      </c>
      <c r="J50" s="18" t="n">
        <v>7.5708</v>
      </c>
      <c r="K50" s="19" t="n">
        <v>13.5917</v>
      </c>
    </row>
    <row r="51" customFormat="false" ht="15" hidden="false" customHeight="false" outlineLevel="0" collapsed="false">
      <c r="A51" s="17" t="s">
        <v>26</v>
      </c>
      <c r="B51" s="17" t="n">
        <v>21</v>
      </c>
      <c r="C51" s="17" t="n">
        <v>36</v>
      </c>
      <c r="D51" s="18" t="n">
        <v>0.6</v>
      </c>
      <c r="E51" s="19" t="n">
        <v>2.1</v>
      </c>
      <c r="F51" s="19" t="n">
        <v>2.064</v>
      </c>
      <c r="G51" s="18" t="n">
        <v>0.6338</v>
      </c>
      <c r="H51" s="18" t="n">
        <v>8</v>
      </c>
      <c r="I51" s="19" t="n">
        <v>13.5</v>
      </c>
      <c r="J51" s="18" t="n">
        <v>7.609</v>
      </c>
      <c r="K51" s="19" t="n">
        <v>13.7894</v>
      </c>
    </row>
    <row r="52" customFormat="false" ht="15" hidden="false" customHeight="false" outlineLevel="0" collapsed="false">
      <c r="A52" s="17" t="s">
        <v>26</v>
      </c>
      <c r="B52" s="17" t="n">
        <v>22</v>
      </c>
      <c r="C52" s="17" t="n">
        <v>43</v>
      </c>
      <c r="D52" s="18" t="n">
        <v>0.6</v>
      </c>
      <c r="E52" s="19" t="n">
        <v>2.1</v>
      </c>
      <c r="F52" s="19" t="n">
        <v>2.0452</v>
      </c>
      <c r="G52" s="18" t="n">
        <v>0.6366</v>
      </c>
      <c r="H52" s="18" t="n">
        <v>8</v>
      </c>
      <c r="I52" s="19" t="n">
        <v>13.5</v>
      </c>
      <c r="J52" s="18" t="n">
        <v>7.6029</v>
      </c>
      <c r="K52" s="19" t="n">
        <v>13.6151</v>
      </c>
    </row>
    <row r="53" customFormat="false" ht="15" hidden="false" customHeight="false" outlineLevel="0" collapsed="false">
      <c r="A53" s="17" t="s">
        <v>26</v>
      </c>
      <c r="B53" s="17" t="n">
        <v>23</v>
      </c>
      <c r="C53" s="17" t="n">
        <v>36</v>
      </c>
      <c r="D53" s="18" t="n">
        <v>0.6</v>
      </c>
      <c r="E53" s="19" t="n">
        <v>2.1</v>
      </c>
      <c r="F53" s="19" t="n">
        <v>2.0612</v>
      </c>
      <c r="G53" s="18" t="n">
        <v>0.6416</v>
      </c>
      <c r="H53" s="18" t="n">
        <v>8</v>
      </c>
      <c r="I53" s="19" t="n">
        <v>13.5</v>
      </c>
      <c r="J53" s="18" t="n">
        <v>8.5195</v>
      </c>
      <c r="K53" s="19" t="n">
        <v>13.338</v>
      </c>
    </row>
    <row r="54" customFormat="false" ht="15" hidden="false" customHeight="false" outlineLevel="0" collapsed="false">
      <c r="A54" s="17" t="s">
        <v>26</v>
      </c>
      <c r="B54" s="17" t="n">
        <v>24</v>
      </c>
      <c r="C54" s="17" t="n">
        <v>38</v>
      </c>
      <c r="D54" s="18" t="n">
        <v>0.6</v>
      </c>
      <c r="E54" s="19" t="n">
        <v>2.1</v>
      </c>
      <c r="F54" s="19" t="n">
        <v>2.0582</v>
      </c>
      <c r="G54" s="18" t="n">
        <v>0.6289</v>
      </c>
      <c r="H54" s="18" t="n">
        <v>8</v>
      </c>
      <c r="I54" s="19" t="n">
        <v>13.5</v>
      </c>
      <c r="J54" s="18" t="n">
        <v>9.0593</v>
      </c>
      <c r="K54" s="19" t="n">
        <v>13.5547</v>
      </c>
    </row>
    <row r="55" customFormat="false" ht="15" hidden="false" customHeight="false" outlineLevel="0" collapsed="false">
      <c r="A55" s="17" t="s">
        <v>26</v>
      </c>
      <c r="B55" s="17" t="n">
        <v>25</v>
      </c>
      <c r="C55" s="17" t="n">
        <v>33</v>
      </c>
      <c r="D55" s="18" t="n">
        <v>0.6</v>
      </c>
      <c r="E55" s="19" t="n">
        <v>2.1</v>
      </c>
      <c r="F55" s="19" t="n">
        <v>2.0699</v>
      </c>
      <c r="G55" s="18" t="n">
        <v>0.6633</v>
      </c>
      <c r="H55" s="18" t="n">
        <v>8</v>
      </c>
      <c r="I55" s="19" t="n">
        <v>13.5</v>
      </c>
      <c r="J55" s="18" t="n">
        <v>8.6195</v>
      </c>
      <c r="K55" s="19" t="n">
        <v>13.2949</v>
      </c>
    </row>
    <row r="56" customFormat="false" ht="15" hidden="false" customHeight="false" outlineLevel="0" collapsed="false">
      <c r="A56" s="17" t="s">
        <v>26</v>
      </c>
      <c r="B56" s="17" t="n">
        <v>26</v>
      </c>
      <c r="C56" s="17" t="n">
        <v>37</v>
      </c>
      <c r="D56" s="18" t="n">
        <v>0.6</v>
      </c>
      <c r="E56" s="19" t="n">
        <v>2.1</v>
      </c>
      <c r="F56" s="19" t="n">
        <v>2.0728</v>
      </c>
      <c r="G56" s="18" t="n">
        <v>0.6305</v>
      </c>
      <c r="H56" s="18" t="n">
        <v>8</v>
      </c>
      <c r="I56" s="19" t="n">
        <v>13.5</v>
      </c>
      <c r="J56" s="18" t="n">
        <v>8.2663</v>
      </c>
      <c r="K56" s="19" t="n">
        <v>13.6046</v>
      </c>
    </row>
    <row r="57" customFormat="false" ht="15" hidden="false" customHeight="false" outlineLevel="0" collapsed="false">
      <c r="A57" s="17" t="s">
        <v>27</v>
      </c>
      <c r="B57" s="17" t="n">
        <v>1</v>
      </c>
      <c r="C57" s="17" t="n">
        <v>48</v>
      </c>
      <c r="D57" s="18" t="n">
        <v>0.5</v>
      </c>
      <c r="E57" s="19" t="n">
        <v>3.2</v>
      </c>
      <c r="F57" s="19" t="n">
        <v>3.1416</v>
      </c>
      <c r="G57" s="18" t="n">
        <v>0.476</v>
      </c>
      <c r="H57" s="18" t="n">
        <v>7</v>
      </c>
      <c r="I57" s="19" t="n">
        <v>13.5</v>
      </c>
      <c r="J57" s="18" t="n">
        <v>6.3854</v>
      </c>
      <c r="K57" s="19" t="n">
        <v>13.4659</v>
      </c>
    </row>
    <row r="58" customFormat="false" ht="15" hidden="false" customHeight="false" outlineLevel="0" collapsed="false">
      <c r="A58" s="17" t="s">
        <v>27</v>
      </c>
      <c r="B58" s="17" t="n">
        <v>2</v>
      </c>
      <c r="C58" s="17" t="n">
        <v>46</v>
      </c>
      <c r="D58" s="18" t="n">
        <v>0.5</v>
      </c>
      <c r="E58" s="19" t="n">
        <v>3.2</v>
      </c>
      <c r="F58" s="19" t="n">
        <v>3.1633</v>
      </c>
      <c r="G58" s="18" t="n">
        <v>0.4951</v>
      </c>
      <c r="H58" s="18" t="n">
        <v>7</v>
      </c>
      <c r="I58" s="19" t="n">
        <v>13.5</v>
      </c>
      <c r="J58" s="18" t="n">
        <v>6.736</v>
      </c>
      <c r="K58" s="19" t="n">
        <v>13.5176</v>
      </c>
    </row>
    <row r="59" customFormat="false" ht="15" hidden="false" customHeight="false" outlineLevel="0" collapsed="false">
      <c r="A59" s="17" t="s">
        <v>27</v>
      </c>
      <c r="B59" s="17" t="n">
        <v>3</v>
      </c>
      <c r="C59" s="17" t="n">
        <v>64</v>
      </c>
      <c r="D59" s="18" t="n">
        <v>0.5</v>
      </c>
      <c r="E59" s="19" t="n">
        <v>3.2</v>
      </c>
      <c r="F59" s="19" t="n">
        <v>3.124</v>
      </c>
      <c r="G59" s="18" t="n">
        <v>0.522</v>
      </c>
      <c r="H59" s="18" t="n">
        <v>7</v>
      </c>
      <c r="I59" s="19" t="n">
        <v>13.5</v>
      </c>
      <c r="J59" s="18" t="n">
        <v>7.0061</v>
      </c>
      <c r="K59" s="19" t="n">
        <v>13.3675</v>
      </c>
    </row>
    <row r="60" customFormat="false" ht="15" hidden="false" customHeight="false" outlineLevel="0" collapsed="false">
      <c r="A60" s="17" t="s">
        <v>27</v>
      </c>
      <c r="B60" s="17" t="n">
        <v>4</v>
      </c>
      <c r="C60" s="17" t="n">
        <v>58</v>
      </c>
      <c r="D60" s="18" t="n">
        <v>0.5</v>
      </c>
      <c r="E60" s="19" t="n">
        <v>3.2</v>
      </c>
      <c r="F60" s="19" t="n">
        <v>3.1449</v>
      </c>
      <c r="G60" s="18" t="n">
        <v>0.5053</v>
      </c>
      <c r="H60" s="18" t="n">
        <v>7</v>
      </c>
      <c r="I60" s="19" t="n">
        <v>13.5</v>
      </c>
      <c r="J60" s="18" t="n">
        <v>7.0419</v>
      </c>
      <c r="K60" s="19" t="n">
        <v>13.448</v>
      </c>
    </row>
    <row r="61" customFormat="false" ht="15" hidden="false" customHeight="false" outlineLevel="0" collapsed="false">
      <c r="A61" s="17" t="s">
        <v>27</v>
      </c>
      <c r="B61" s="17" t="n">
        <v>5</v>
      </c>
      <c r="C61" s="17" t="n">
        <v>55</v>
      </c>
      <c r="D61" s="18" t="n">
        <v>0.5</v>
      </c>
      <c r="E61" s="19" t="n">
        <v>3.2</v>
      </c>
      <c r="F61" s="19" t="n">
        <v>3.1509</v>
      </c>
      <c r="G61" s="18" t="n">
        <v>0.5282</v>
      </c>
      <c r="H61" s="18" t="n">
        <v>7</v>
      </c>
      <c r="I61" s="19" t="n">
        <v>13.5</v>
      </c>
      <c r="J61" s="18" t="n">
        <v>6.2573</v>
      </c>
      <c r="K61" s="19" t="n">
        <v>13.788</v>
      </c>
    </row>
    <row r="62" customFormat="false" ht="15" hidden="false" customHeight="false" outlineLevel="0" collapsed="false">
      <c r="A62" s="17" t="s">
        <v>27</v>
      </c>
      <c r="B62" s="17" t="n">
        <v>6</v>
      </c>
      <c r="C62" s="17" t="n">
        <v>42</v>
      </c>
      <c r="D62" s="18" t="n">
        <v>0.5</v>
      </c>
      <c r="E62" s="19" t="n">
        <v>3.2</v>
      </c>
      <c r="F62" s="19" t="n">
        <v>3.1405</v>
      </c>
      <c r="G62" s="18" t="n">
        <v>0.5192</v>
      </c>
      <c r="H62" s="18" t="n">
        <v>7</v>
      </c>
      <c r="I62" s="19" t="n">
        <v>13.5</v>
      </c>
      <c r="J62" s="18" t="n">
        <v>7.1686</v>
      </c>
      <c r="K62" s="19" t="n">
        <v>13.4159</v>
      </c>
    </row>
    <row r="63" customFormat="false" ht="15" hidden="false" customHeight="false" outlineLevel="0" collapsed="false">
      <c r="A63" s="17" t="s">
        <v>27</v>
      </c>
      <c r="B63" s="17" t="n">
        <v>7</v>
      </c>
      <c r="C63" s="17" t="n">
        <v>53</v>
      </c>
      <c r="D63" s="18" t="n">
        <v>0.5</v>
      </c>
      <c r="E63" s="19" t="n">
        <v>3.2</v>
      </c>
      <c r="F63" s="19" t="n">
        <v>3.1361</v>
      </c>
      <c r="G63" s="18" t="n">
        <v>0.5083</v>
      </c>
      <c r="H63" s="18" t="n">
        <v>7</v>
      </c>
      <c r="I63" s="19" t="n">
        <v>13.5</v>
      </c>
      <c r="J63" s="18" t="n">
        <v>7.5098</v>
      </c>
      <c r="K63" s="19" t="n">
        <v>13.5482</v>
      </c>
    </row>
    <row r="64" customFormat="false" ht="15" hidden="false" customHeight="false" outlineLevel="0" collapsed="false">
      <c r="A64" s="17" t="s">
        <v>27</v>
      </c>
      <c r="B64" s="17" t="n">
        <v>8</v>
      </c>
      <c r="C64" s="17" t="n">
        <v>50</v>
      </c>
      <c r="D64" s="18" t="n">
        <v>0.5</v>
      </c>
      <c r="E64" s="19" t="n">
        <v>3.2</v>
      </c>
      <c r="F64" s="19" t="n">
        <v>3.1539</v>
      </c>
      <c r="G64" s="18" t="n">
        <v>0.5183</v>
      </c>
      <c r="H64" s="18" t="n">
        <v>7</v>
      </c>
      <c r="I64" s="19" t="n">
        <v>13.5</v>
      </c>
      <c r="J64" s="18" t="n">
        <v>7.4877</v>
      </c>
      <c r="K64" s="19" t="n">
        <v>13.585</v>
      </c>
    </row>
    <row r="65" customFormat="false" ht="15" hidden="false" customHeight="false" outlineLevel="0" collapsed="false">
      <c r="A65" s="17" t="s">
        <v>27</v>
      </c>
      <c r="B65" s="17" t="n">
        <v>9</v>
      </c>
      <c r="C65" s="17" t="n">
        <v>49</v>
      </c>
      <c r="D65" s="18" t="n">
        <v>0.5</v>
      </c>
      <c r="E65" s="19" t="n">
        <v>3.2</v>
      </c>
      <c r="F65" s="19" t="n">
        <v>3.1352</v>
      </c>
      <c r="G65" s="18" t="n">
        <v>0.5236</v>
      </c>
      <c r="H65" s="18" t="n">
        <v>7</v>
      </c>
      <c r="I65" s="19" t="n">
        <v>13.5</v>
      </c>
      <c r="J65" s="18" t="n">
        <v>7.3662</v>
      </c>
      <c r="K65" s="19" t="n">
        <v>13.4972</v>
      </c>
    </row>
    <row r="66" customFormat="false" ht="15" hidden="false" customHeight="false" outlineLevel="0" collapsed="false">
      <c r="A66" s="17" t="s">
        <v>27</v>
      </c>
      <c r="B66" s="17" t="n">
        <v>10</v>
      </c>
      <c r="C66" s="17" t="n">
        <v>55</v>
      </c>
      <c r="D66" s="18" t="n">
        <v>0.5</v>
      </c>
      <c r="E66" s="19" t="n">
        <v>3.2</v>
      </c>
      <c r="F66" s="19" t="n">
        <v>3.1588</v>
      </c>
      <c r="G66" s="18" t="n">
        <v>0.5112</v>
      </c>
      <c r="H66" s="18" t="n">
        <v>7</v>
      </c>
      <c r="I66" s="19" t="n">
        <v>13.5</v>
      </c>
      <c r="J66" s="18" t="n">
        <v>7.3283</v>
      </c>
      <c r="K66" s="19" t="n">
        <v>13.4727</v>
      </c>
    </row>
    <row r="67" customFormat="false" ht="15" hidden="false" customHeight="false" outlineLevel="0" collapsed="false">
      <c r="A67" s="17" t="s">
        <v>27</v>
      </c>
      <c r="B67" s="17" t="n">
        <v>11</v>
      </c>
      <c r="C67" s="17" t="n">
        <v>53</v>
      </c>
      <c r="D67" s="18" t="n">
        <v>0.5</v>
      </c>
      <c r="E67" s="19" t="n">
        <v>3.2</v>
      </c>
      <c r="F67" s="19" t="n">
        <v>3.1565</v>
      </c>
      <c r="G67" s="18" t="n">
        <v>0.5263</v>
      </c>
      <c r="H67" s="18" t="n">
        <v>7</v>
      </c>
      <c r="I67" s="19" t="n">
        <v>13.5</v>
      </c>
      <c r="J67" s="18" t="n">
        <v>7.4881</v>
      </c>
      <c r="K67" s="19" t="n">
        <v>13.6762</v>
      </c>
    </row>
    <row r="68" customFormat="false" ht="15" hidden="false" customHeight="false" outlineLevel="0" collapsed="false">
      <c r="A68" s="17" t="s">
        <v>27</v>
      </c>
      <c r="B68" s="17" t="n">
        <v>12</v>
      </c>
      <c r="C68" s="17" t="n">
        <v>55</v>
      </c>
      <c r="D68" s="18" t="n">
        <v>0.5</v>
      </c>
      <c r="E68" s="19" t="n">
        <v>3.2</v>
      </c>
      <c r="F68" s="19" t="n">
        <v>3.1511</v>
      </c>
      <c r="G68" s="18" t="n">
        <v>0.5159</v>
      </c>
      <c r="H68" s="18" t="n">
        <v>7</v>
      </c>
      <c r="I68" s="19" t="n">
        <v>13.5</v>
      </c>
      <c r="J68" s="18" t="n">
        <v>7.1945</v>
      </c>
      <c r="K68" s="19" t="n">
        <v>13.4824</v>
      </c>
    </row>
    <row r="69" customFormat="false" ht="15" hidden="false" customHeight="false" outlineLevel="0" collapsed="false">
      <c r="A69" s="17" t="s">
        <v>27</v>
      </c>
      <c r="B69" s="17" t="n">
        <v>13</v>
      </c>
      <c r="C69" s="17" t="n">
        <v>55</v>
      </c>
      <c r="D69" s="18" t="n">
        <v>0.5</v>
      </c>
      <c r="E69" s="19" t="n">
        <v>3.2</v>
      </c>
      <c r="F69" s="19" t="n">
        <v>3.15</v>
      </c>
      <c r="G69" s="18" t="n">
        <v>0.5118</v>
      </c>
      <c r="H69" s="18" t="n">
        <v>7</v>
      </c>
      <c r="I69" s="19" t="n">
        <v>13.5</v>
      </c>
      <c r="J69" s="18" t="n">
        <v>8.2554</v>
      </c>
      <c r="K69" s="19" t="n">
        <v>13.3642</v>
      </c>
    </row>
    <row r="70" customFormat="false" ht="15" hidden="false" customHeight="false" outlineLevel="0" collapsed="false">
      <c r="A70" s="17" t="s">
        <v>27</v>
      </c>
      <c r="B70" s="17" t="n">
        <v>14</v>
      </c>
      <c r="C70" s="17" t="n">
        <v>46</v>
      </c>
      <c r="D70" s="18" t="n">
        <v>0.5</v>
      </c>
      <c r="E70" s="19" t="n">
        <v>3.2</v>
      </c>
      <c r="F70" s="19" t="n">
        <v>3.1572</v>
      </c>
      <c r="G70" s="18" t="n">
        <v>0.5289</v>
      </c>
      <c r="H70" s="18" t="n">
        <v>7</v>
      </c>
      <c r="I70" s="19" t="n">
        <v>13.5</v>
      </c>
      <c r="J70" s="18" t="n">
        <v>7.3745</v>
      </c>
      <c r="K70" s="19" t="n">
        <v>13.5848</v>
      </c>
    </row>
    <row r="71" customFormat="false" ht="15" hidden="false" customHeight="false" outlineLevel="0" collapsed="false">
      <c r="A71" s="17" t="s">
        <v>27</v>
      </c>
      <c r="B71" s="17" t="n">
        <v>15</v>
      </c>
      <c r="C71" s="17" t="n">
        <v>54</v>
      </c>
      <c r="D71" s="18" t="n">
        <v>0.5</v>
      </c>
      <c r="E71" s="19" t="n">
        <v>3.2</v>
      </c>
      <c r="F71" s="19" t="n">
        <v>3.1309</v>
      </c>
      <c r="G71" s="18" t="n">
        <v>0.5227</v>
      </c>
      <c r="H71" s="18" t="n">
        <v>7</v>
      </c>
      <c r="I71" s="19" t="n">
        <v>13.5</v>
      </c>
      <c r="J71" s="18" t="n">
        <v>6.5937</v>
      </c>
      <c r="K71" s="19" t="n">
        <v>13.6316</v>
      </c>
    </row>
    <row r="72" customFormat="false" ht="15" hidden="false" customHeight="false" outlineLevel="0" collapsed="false">
      <c r="A72" s="17" t="s">
        <v>27</v>
      </c>
      <c r="B72" s="17" t="n">
        <v>16</v>
      </c>
      <c r="C72" s="17" t="n">
        <v>54</v>
      </c>
      <c r="D72" s="18" t="n">
        <v>0.5</v>
      </c>
      <c r="E72" s="19" t="n">
        <v>3.2</v>
      </c>
      <c r="F72" s="19" t="n">
        <v>3.1318</v>
      </c>
      <c r="G72" s="18" t="n">
        <v>0.5197</v>
      </c>
      <c r="H72" s="18" t="n">
        <v>7</v>
      </c>
      <c r="I72" s="19" t="n">
        <v>13.5</v>
      </c>
      <c r="J72" s="18" t="n">
        <v>7.2478</v>
      </c>
      <c r="K72" s="19" t="n">
        <v>13.4239</v>
      </c>
    </row>
    <row r="73" customFormat="false" ht="15" hidden="false" customHeight="false" outlineLevel="0" collapsed="false">
      <c r="A73" s="17" t="s">
        <v>27</v>
      </c>
      <c r="B73" s="17" t="n">
        <v>17</v>
      </c>
      <c r="C73" s="17" t="n">
        <v>49</v>
      </c>
      <c r="D73" s="18" t="n">
        <v>0.5</v>
      </c>
      <c r="E73" s="19" t="n">
        <v>3.2</v>
      </c>
      <c r="F73" s="19" t="n">
        <v>3.1455</v>
      </c>
      <c r="G73" s="18" t="n">
        <v>0.5263</v>
      </c>
      <c r="H73" s="18" t="n">
        <v>7</v>
      </c>
      <c r="I73" s="19" t="n">
        <v>13.5</v>
      </c>
      <c r="J73" s="18" t="n">
        <v>6.6958</v>
      </c>
      <c r="K73" s="19" t="n">
        <v>13.4364</v>
      </c>
    </row>
    <row r="74" customFormat="false" ht="15" hidden="false" customHeight="false" outlineLevel="0" collapsed="false">
      <c r="A74" s="17" t="s">
        <v>27</v>
      </c>
      <c r="B74" s="17" t="n">
        <v>18</v>
      </c>
      <c r="C74" s="17" t="n">
        <v>56</v>
      </c>
      <c r="D74" s="18" t="n">
        <v>0.5</v>
      </c>
      <c r="E74" s="19" t="n">
        <v>3.2</v>
      </c>
      <c r="F74" s="19" t="n">
        <v>3.1239</v>
      </c>
      <c r="G74" s="18" t="n">
        <v>0.5107</v>
      </c>
      <c r="H74" s="18" t="n">
        <v>7</v>
      </c>
      <c r="I74" s="19" t="n">
        <v>13.5</v>
      </c>
      <c r="J74" s="18" t="n">
        <v>6.5689</v>
      </c>
      <c r="K74" s="19" t="n">
        <v>13.4712</v>
      </c>
    </row>
    <row r="75" customFormat="false" ht="15" hidden="false" customHeight="false" outlineLevel="0" collapsed="false">
      <c r="A75" s="17" t="s">
        <v>27</v>
      </c>
      <c r="B75" s="17" t="n">
        <v>19</v>
      </c>
      <c r="C75" s="17" t="n">
        <v>57</v>
      </c>
      <c r="D75" s="18" t="n">
        <v>0.5</v>
      </c>
      <c r="E75" s="19" t="n">
        <v>3.2</v>
      </c>
      <c r="F75" s="19" t="n">
        <v>3.1613</v>
      </c>
      <c r="G75" s="18" t="n">
        <v>0.5343</v>
      </c>
      <c r="H75" s="18" t="n">
        <v>7</v>
      </c>
      <c r="I75" s="19" t="n">
        <v>13.5</v>
      </c>
      <c r="J75" s="18" t="n">
        <v>6.904</v>
      </c>
      <c r="K75" s="19" t="n">
        <v>13.4974</v>
      </c>
    </row>
    <row r="76" customFormat="false" ht="15" hidden="false" customHeight="false" outlineLevel="0" collapsed="false">
      <c r="A76" s="17" t="s">
        <v>27</v>
      </c>
      <c r="B76" s="17" t="n">
        <v>20</v>
      </c>
      <c r="C76" s="17" t="n">
        <v>48</v>
      </c>
      <c r="D76" s="18" t="n">
        <v>0.5</v>
      </c>
      <c r="E76" s="19" t="n">
        <v>3.2</v>
      </c>
      <c r="F76" s="19" t="n">
        <v>3.1422</v>
      </c>
      <c r="G76" s="18" t="n">
        <v>0.5238</v>
      </c>
      <c r="H76" s="18" t="n">
        <v>7</v>
      </c>
      <c r="I76" s="19" t="n">
        <v>13.5</v>
      </c>
      <c r="J76" s="18" t="n">
        <v>7.1936</v>
      </c>
      <c r="K76" s="19" t="n">
        <v>13.3883</v>
      </c>
    </row>
    <row r="77" customFormat="false" ht="15" hidden="false" customHeight="false" outlineLevel="0" collapsed="false">
      <c r="A77" s="17" t="s">
        <v>27</v>
      </c>
      <c r="B77" s="17" t="n">
        <v>21</v>
      </c>
      <c r="C77" s="17" t="n">
        <v>58</v>
      </c>
      <c r="D77" s="18" t="n">
        <v>0.5</v>
      </c>
      <c r="E77" s="19" t="n">
        <v>3.2</v>
      </c>
      <c r="F77" s="19" t="n">
        <v>3.162</v>
      </c>
      <c r="G77" s="18" t="n">
        <v>0.5266</v>
      </c>
      <c r="H77" s="18" t="n">
        <v>7</v>
      </c>
      <c r="I77" s="19" t="n">
        <v>13.5</v>
      </c>
      <c r="J77" s="18" t="n">
        <v>7.241</v>
      </c>
      <c r="K77" s="19" t="n">
        <v>13.5932</v>
      </c>
    </row>
    <row r="78" customFormat="false" ht="15" hidden="false" customHeight="false" outlineLevel="0" collapsed="false">
      <c r="A78" s="17" t="s">
        <v>27</v>
      </c>
      <c r="B78" s="17" t="n">
        <v>22</v>
      </c>
      <c r="C78" s="17" t="n">
        <v>52</v>
      </c>
      <c r="D78" s="18" t="n">
        <v>0.5</v>
      </c>
      <c r="E78" s="19" t="n">
        <v>3.2</v>
      </c>
      <c r="F78" s="19" t="n">
        <v>3.1453</v>
      </c>
      <c r="G78" s="18" t="n">
        <v>0.5288</v>
      </c>
      <c r="H78" s="18" t="n">
        <v>7</v>
      </c>
      <c r="I78" s="19" t="n">
        <v>13.5</v>
      </c>
      <c r="J78" s="18" t="n">
        <v>7.0586</v>
      </c>
      <c r="K78" s="19" t="n">
        <v>13.3956</v>
      </c>
    </row>
    <row r="79" customFormat="false" ht="15" hidden="false" customHeight="false" outlineLevel="0" collapsed="false">
      <c r="A79" s="17" t="s">
        <v>27</v>
      </c>
      <c r="B79" s="17" t="n">
        <v>23</v>
      </c>
      <c r="C79" s="17" t="n">
        <v>55</v>
      </c>
      <c r="D79" s="18" t="n">
        <v>0.5</v>
      </c>
      <c r="E79" s="19" t="n">
        <v>3.2</v>
      </c>
      <c r="F79" s="19" t="n">
        <v>3.1488</v>
      </c>
      <c r="G79" s="18" t="n">
        <v>0.5441</v>
      </c>
      <c r="H79" s="18" t="n">
        <v>7</v>
      </c>
      <c r="I79" s="19" t="n">
        <v>13.5</v>
      </c>
      <c r="J79" s="18" t="n">
        <v>7.5756</v>
      </c>
      <c r="K79" s="19" t="n">
        <v>13.7907</v>
      </c>
    </row>
    <row r="80" customFormat="false" ht="15" hidden="false" customHeight="false" outlineLevel="0" collapsed="false">
      <c r="A80" s="17" t="s">
        <v>27</v>
      </c>
      <c r="B80" s="17" t="n">
        <v>24</v>
      </c>
      <c r="C80" s="17" t="n">
        <v>49</v>
      </c>
      <c r="D80" s="18" t="n">
        <v>0.5</v>
      </c>
      <c r="E80" s="19" t="n">
        <v>3.2</v>
      </c>
      <c r="F80" s="19" t="n">
        <v>3.1536</v>
      </c>
      <c r="G80" s="18" t="n">
        <v>0.5324</v>
      </c>
      <c r="H80" s="18" t="n">
        <v>7</v>
      </c>
      <c r="I80" s="19" t="n">
        <v>13.5</v>
      </c>
      <c r="J80" s="18" t="n">
        <v>8.3139</v>
      </c>
      <c r="K80" s="19" t="n">
        <v>13.3909</v>
      </c>
    </row>
    <row r="81" customFormat="false" ht="15" hidden="false" customHeight="false" outlineLevel="0" collapsed="false">
      <c r="A81" s="17" t="s">
        <v>27</v>
      </c>
      <c r="B81" s="17" t="n">
        <v>25</v>
      </c>
      <c r="C81" s="17" t="n">
        <v>49</v>
      </c>
      <c r="D81" s="18" t="n">
        <v>0.5</v>
      </c>
      <c r="E81" s="19" t="n">
        <v>3.2</v>
      </c>
      <c r="F81" s="19" t="n">
        <v>3.1347</v>
      </c>
      <c r="G81" s="18" t="n">
        <v>0.5103</v>
      </c>
      <c r="H81" s="18" t="n">
        <v>7</v>
      </c>
      <c r="I81" s="19" t="n">
        <v>13.5</v>
      </c>
      <c r="J81" s="18" t="n">
        <v>6.6845</v>
      </c>
      <c r="K81" s="19" t="n">
        <v>13.3975</v>
      </c>
    </row>
    <row r="82" customFormat="false" ht="15" hidden="false" customHeight="false" outlineLevel="0" collapsed="false">
      <c r="A82" s="17" t="s">
        <v>27</v>
      </c>
      <c r="B82" s="17" t="n">
        <v>26</v>
      </c>
      <c r="C82" s="17" t="n">
        <v>55</v>
      </c>
      <c r="D82" s="18" t="n">
        <v>0.5</v>
      </c>
      <c r="E82" s="19" t="n">
        <v>3.2</v>
      </c>
      <c r="F82" s="19" t="n">
        <v>3.1468</v>
      </c>
      <c r="G82" s="18" t="n">
        <v>0.5513</v>
      </c>
      <c r="H82" s="18" t="n">
        <v>7</v>
      </c>
      <c r="I82" s="19" t="n">
        <v>13.5</v>
      </c>
      <c r="J82" s="18" t="n">
        <v>7.5703</v>
      </c>
      <c r="K82" s="19" t="n">
        <v>13.4221</v>
      </c>
    </row>
    <row r="83" customFormat="false" ht="15" hidden="false" customHeight="false" outlineLevel="0" collapsed="false">
      <c r="A83" s="17" t="s">
        <v>28</v>
      </c>
      <c r="B83" s="17" t="n">
        <v>1</v>
      </c>
      <c r="C83" s="17" t="n">
        <v>26</v>
      </c>
      <c r="D83" s="18" t="n">
        <v>0.45</v>
      </c>
      <c r="E83" s="19" t="n">
        <v>6.5</v>
      </c>
      <c r="F83" s="19" t="n">
        <v>6.3958</v>
      </c>
      <c r="G83" s="18" t="n">
        <v>0.4457</v>
      </c>
      <c r="H83" s="18" t="n">
        <v>10</v>
      </c>
      <c r="I83" s="19" t="n">
        <v>14.5</v>
      </c>
      <c r="J83" s="18" t="n">
        <v>11.0989</v>
      </c>
      <c r="K83" s="19" t="n">
        <v>14.671</v>
      </c>
    </row>
    <row r="84" customFormat="false" ht="15" hidden="false" customHeight="false" outlineLevel="0" collapsed="false">
      <c r="A84" s="17" t="s">
        <v>28</v>
      </c>
      <c r="B84" s="17" t="n">
        <v>2</v>
      </c>
      <c r="C84" s="17" t="n">
        <v>28</v>
      </c>
      <c r="D84" s="18" t="n">
        <v>0.45</v>
      </c>
      <c r="E84" s="19" t="n">
        <v>6.5</v>
      </c>
      <c r="F84" s="19" t="n">
        <v>6.3385</v>
      </c>
      <c r="G84" s="18" t="n">
        <v>0.4707</v>
      </c>
      <c r="H84" s="18" t="n">
        <v>10</v>
      </c>
      <c r="I84" s="19" t="n">
        <v>14.5</v>
      </c>
      <c r="J84" s="18" t="n">
        <v>9.9313</v>
      </c>
      <c r="K84" s="19" t="n">
        <v>14.6795</v>
      </c>
    </row>
    <row r="85" customFormat="false" ht="15" hidden="false" customHeight="false" outlineLevel="0" collapsed="false">
      <c r="A85" s="17" t="s">
        <v>28</v>
      </c>
      <c r="B85" s="17" t="n">
        <v>3</v>
      </c>
      <c r="C85" s="17" t="n">
        <v>24</v>
      </c>
      <c r="D85" s="18" t="n">
        <v>0.45</v>
      </c>
      <c r="E85" s="19" t="n">
        <v>6.5</v>
      </c>
      <c r="F85" s="19" t="n">
        <v>6.3674</v>
      </c>
      <c r="G85" s="18" t="n">
        <v>0.4594</v>
      </c>
      <c r="H85" s="18" t="n">
        <v>10</v>
      </c>
      <c r="I85" s="19" t="n">
        <v>14.5</v>
      </c>
      <c r="J85" s="18" t="n">
        <v>10.0282</v>
      </c>
      <c r="K85" s="19" t="n">
        <v>14.4347</v>
      </c>
    </row>
    <row r="86" customFormat="false" ht="15" hidden="false" customHeight="false" outlineLevel="0" collapsed="false">
      <c r="A86" s="17" t="s">
        <v>28</v>
      </c>
      <c r="B86" s="17" t="n">
        <v>4</v>
      </c>
      <c r="C86" s="17" t="n">
        <v>32</v>
      </c>
      <c r="D86" s="18" t="n">
        <v>0.45</v>
      </c>
      <c r="E86" s="19" t="n">
        <v>6.5</v>
      </c>
      <c r="F86" s="19" t="n">
        <v>6.3552</v>
      </c>
      <c r="G86" s="18" t="n">
        <v>0.4589</v>
      </c>
      <c r="H86" s="18" t="n">
        <v>10</v>
      </c>
      <c r="I86" s="19" t="n">
        <v>14.5</v>
      </c>
      <c r="J86" s="18" t="n">
        <v>10.0722</v>
      </c>
      <c r="K86" s="19" t="n">
        <v>14.5746</v>
      </c>
    </row>
    <row r="87" customFormat="false" ht="15" hidden="false" customHeight="false" outlineLevel="0" collapsed="false">
      <c r="A87" s="17" t="s">
        <v>28</v>
      </c>
      <c r="B87" s="17" t="n">
        <v>5</v>
      </c>
      <c r="C87" s="17" t="n">
        <v>32</v>
      </c>
      <c r="D87" s="18" t="n">
        <v>0.45</v>
      </c>
      <c r="E87" s="19" t="n">
        <v>6.5</v>
      </c>
      <c r="F87" s="19" t="n">
        <v>6.3538</v>
      </c>
      <c r="G87" s="18" t="n">
        <v>0.4473</v>
      </c>
      <c r="H87" s="18" t="n">
        <v>10</v>
      </c>
      <c r="I87" s="19" t="n">
        <v>14.5</v>
      </c>
      <c r="J87" s="18" t="n">
        <v>10.7666</v>
      </c>
      <c r="K87" s="19" t="n">
        <v>14.5482</v>
      </c>
    </row>
    <row r="88" customFormat="false" ht="15" hidden="false" customHeight="false" outlineLevel="0" collapsed="false">
      <c r="A88" s="17" t="s">
        <v>28</v>
      </c>
      <c r="B88" s="17" t="n">
        <v>6</v>
      </c>
      <c r="C88" s="17" t="n">
        <v>27</v>
      </c>
      <c r="D88" s="18" t="n">
        <v>0.45</v>
      </c>
      <c r="E88" s="19" t="n">
        <v>6.5</v>
      </c>
      <c r="F88" s="19" t="n">
        <v>6.4233</v>
      </c>
      <c r="G88" s="18" t="n">
        <v>0.463</v>
      </c>
      <c r="H88" s="18" t="n">
        <v>10</v>
      </c>
      <c r="I88" s="19" t="n">
        <v>14.5</v>
      </c>
      <c r="J88" s="18" t="n">
        <v>10.7076</v>
      </c>
      <c r="K88" s="19" t="n">
        <v>14.5098</v>
      </c>
    </row>
    <row r="89" customFormat="false" ht="15" hidden="false" customHeight="false" outlineLevel="0" collapsed="false">
      <c r="A89" s="17" t="s">
        <v>28</v>
      </c>
      <c r="B89" s="17" t="n">
        <v>7</v>
      </c>
      <c r="C89" s="17" t="n">
        <v>37</v>
      </c>
      <c r="D89" s="18" t="n">
        <v>0.45</v>
      </c>
      <c r="E89" s="19" t="n">
        <v>6.5</v>
      </c>
      <c r="F89" s="19" t="n">
        <v>6.4286</v>
      </c>
      <c r="G89" s="18" t="n">
        <v>0.4606</v>
      </c>
      <c r="H89" s="18" t="n">
        <v>10</v>
      </c>
      <c r="I89" s="19" t="n">
        <v>14.5</v>
      </c>
      <c r="J89" s="18" t="n">
        <v>10.5829</v>
      </c>
      <c r="K89" s="19" t="n">
        <v>14.5936</v>
      </c>
    </row>
    <row r="90" customFormat="false" ht="15" hidden="false" customHeight="false" outlineLevel="0" collapsed="false">
      <c r="A90" s="17" t="s">
        <v>28</v>
      </c>
      <c r="B90" s="17" t="n">
        <v>8</v>
      </c>
      <c r="C90" s="17" t="n">
        <v>34</v>
      </c>
      <c r="D90" s="18" t="n">
        <v>0.45</v>
      </c>
      <c r="E90" s="19" t="n">
        <v>6.5</v>
      </c>
      <c r="F90" s="19" t="n">
        <v>6.3579</v>
      </c>
      <c r="G90" s="18" t="n">
        <v>0.4698</v>
      </c>
      <c r="H90" s="18" t="n">
        <v>10</v>
      </c>
      <c r="I90" s="19" t="n">
        <v>14.5</v>
      </c>
      <c r="J90" s="18" t="n">
        <v>10.6351</v>
      </c>
      <c r="K90" s="19" t="n">
        <v>14.245</v>
      </c>
    </row>
    <row r="91" customFormat="false" ht="15" hidden="false" customHeight="false" outlineLevel="0" collapsed="false">
      <c r="A91" s="17" t="s">
        <v>28</v>
      </c>
      <c r="B91" s="17" t="n">
        <v>9</v>
      </c>
      <c r="C91" s="17" t="n">
        <v>25</v>
      </c>
      <c r="D91" s="18" t="n">
        <v>0.45</v>
      </c>
      <c r="E91" s="19" t="n">
        <v>6.5</v>
      </c>
      <c r="F91" s="19" t="n">
        <v>6.33</v>
      </c>
      <c r="G91" s="18" t="n">
        <v>0.4621</v>
      </c>
      <c r="H91" s="18" t="n">
        <v>10</v>
      </c>
      <c r="I91" s="19" t="n">
        <v>14.5</v>
      </c>
      <c r="J91" s="18" t="n">
        <v>10.4305</v>
      </c>
      <c r="K91" s="19" t="n">
        <v>14.7178</v>
      </c>
    </row>
    <row r="92" customFormat="false" ht="15" hidden="false" customHeight="false" outlineLevel="0" collapsed="false">
      <c r="A92" s="17" t="s">
        <v>28</v>
      </c>
      <c r="B92" s="17" t="n">
        <v>10</v>
      </c>
      <c r="C92" s="17" t="n">
        <v>30</v>
      </c>
      <c r="D92" s="18" t="n">
        <v>0.45</v>
      </c>
      <c r="E92" s="19" t="n">
        <v>6.5</v>
      </c>
      <c r="F92" s="19" t="n">
        <v>6.4253</v>
      </c>
      <c r="G92" s="18" t="n">
        <v>0.453</v>
      </c>
      <c r="H92" s="18" t="n">
        <v>10</v>
      </c>
      <c r="I92" s="19" t="n">
        <v>14.5</v>
      </c>
      <c r="J92" s="18" t="n">
        <v>8.978</v>
      </c>
      <c r="K92" s="19" t="n">
        <v>14.4919</v>
      </c>
    </row>
    <row r="93" customFormat="false" ht="15" hidden="false" customHeight="false" outlineLevel="0" collapsed="false">
      <c r="A93" s="17" t="s">
        <v>28</v>
      </c>
      <c r="B93" s="17" t="n">
        <v>11</v>
      </c>
      <c r="C93" s="17" t="n">
        <v>31</v>
      </c>
      <c r="D93" s="18" t="n">
        <v>0.45</v>
      </c>
      <c r="E93" s="19" t="n">
        <v>6.5</v>
      </c>
      <c r="F93" s="19" t="n">
        <v>6.3821</v>
      </c>
      <c r="G93" s="18" t="n">
        <v>0.4477</v>
      </c>
      <c r="H93" s="18" t="n">
        <v>10</v>
      </c>
      <c r="I93" s="19" t="n">
        <v>14.5</v>
      </c>
      <c r="J93" s="18" t="n">
        <v>9.9465</v>
      </c>
      <c r="K93" s="19" t="n">
        <v>14.3109</v>
      </c>
    </row>
    <row r="94" customFormat="false" ht="15" hidden="false" customHeight="false" outlineLevel="0" collapsed="false">
      <c r="A94" s="17" t="s">
        <v>28</v>
      </c>
      <c r="B94" s="17" t="n">
        <v>12</v>
      </c>
      <c r="C94" s="17" t="n">
        <v>32</v>
      </c>
      <c r="D94" s="18" t="n">
        <v>0.45</v>
      </c>
      <c r="E94" s="19" t="n">
        <v>6.5</v>
      </c>
      <c r="F94" s="19" t="n">
        <v>6.3925</v>
      </c>
      <c r="G94" s="18" t="n">
        <v>0.4587</v>
      </c>
      <c r="H94" s="18" t="n">
        <v>10</v>
      </c>
      <c r="I94" s="19" t="n">
        <v>14.5</v>
      </c>
      <c r="J94" s="18" t="n">
        <v>9.6917</v>
      </c>
      <c r="K94" s="19" t="n">
        <v>14.3464</v>
      </c>
    </row>
    <row r="95" customFormat="false" ht="15" hidden="false" customHeight="false" outlineLevel="0" collapsed="false">
      <c r="A95" s="17" t="s">
        <v>28</v>
      </c>
      <c r="B95" s="17" t="n">
        <v>13</v>
      </c>
      <c r="C95" s="17" t="n">
        <v>29</v>
      </c>
      <c r="D95" s="18" t="n">
        <v>0.45</v>
      </c>
      <c r="E95" s="19" t="n">
        <v>6.5</v>
      </c>
      <c r="F95" s="19" t="n">
        <v>6.4078</v>
      </c>
      <c r="G95" s="18" t="n">
        <v>0.4591</v>
      </c>
      <c r="H95" s="18" t="n">
        <v>10</v>
      </c>
      <c r="I95" s="19" t="n">
        <v>14.5</v>
      </c>
      <c r="J95" s="18" t="n">
        <v>10.3024</v>
      </c>
      <c r="K95" s="19" t="n">
        <v>14.4231</v>
      </c>
    </row>
    <row r="96" customFormat="false" ht="15" hidden="false" customHeight="false" outlineLevel="0" collapsed="false">
      <c r="A96" s="17" t="s">
        <v>28</v>
      </c>
      <c r="B96" s="17" t="n">
        <v>14</v>
      </c>
      <c r="C96" s="17" t="n">
        <v>27</v>
      </c>
      <c r="D96" s="18" t="n">
        <v>0.45</v>
      </c>
      <c r="E96" s="19" t="n">
        <v>6.5</v>
      </c>
      <c r="F96" s="19" t="n">
        <v>6.3802</v>
      </c>
      <c r="G96" s="18" t="n">
        <v>0.4595</v>
      </c>
      <c r="H96" s="18" t="n">
        <v>10</v>
      </c>
      <c r="I96" s="19" t="n">
        <v>14.5</v>
      </c>
      <c r="J96" s="18" t="n">
        <v>9.6678</v>
      </c>
      <c r="K96" s="19" t="n">
        <v>14.3263</v>
      </c>
    </row>
    <row r="97" customFormat="false" ht="15" hidden="false" customHeight="false" outlineLevel="0" collapsed="false">
      <c r="A97" s="17" t="s">
        <v>28</v>
      </c>
      <c r="B97" s="17" t="n">
        <v>15</v>
      </c>
      <c r="C97" s="17" t="n">
        <v>37</v>
      </c>
      <c r="D97" s="18" t="n">
        <v>0.45</v>
      </c>
      <c r="E97" s="19" t="n">
        <v>6.5</v>
      </c>
      <c r="F97" s="19" t="n">
        <v>6.3839</v>
      </c>
      <c r="G97" s="18" t="n">
        <v>0.4634</v>
      </c>
      <c r="H97" s="18" t="n">
        <v>10</v>
      </c>
      <c r="I97" s="19" t="n">
        <v>14.5</v>
      </c>
      <c r="J97" s="18" t="n">
        <v>10.1284</v>
      </c>
      <c r="K97" s="19" t="n">
        <v>14.4837</v>
      </c>
    </row>
    <row r="98" customFormat="false" ht="15" hidden="false" customHeight="false" outlineLevel="0" collapsed="false">
      <c r="A98" s="17" t="s">
        <v>28</v>
      </c>
      <c r="B98" s="17" t="n">
        <v>16</v>
      </c>
      <c r="C98" s="17" t="n">
        <v>29</v>
      </c>
      <c r="D98" s="18" t="n">
        <v>0.45</v>
      </c>
      <c r="E98" s="19" t="n">
        <v>6.5</v>
      </c>
      <c r="F98" s="19" t="n">
        <v>6.399</v>
      </c>
      <c r="G98" s="18" t="n">
        <v>0.4774</v>
      </c>
      <c r="H98" s="18" t="n">
        <v>10</v>
      </c>
      <c r="I98" s="19" t="n">
        <v>14.5</v>
      </c>
      <c r="J98" s="18" t="n">
        <v>9.6817</v>
      </c>
      <c r="K98" s="19" t="n">
        <v>14.4165</v>
      </c>
    </row>
    <row r="99" customFormat="false" ht="15" hidden="false" customHeight="false" outlineLevel="0" collapsed="false">
      <c r="A99" s="17" t="s">
        <v>28</v>
      </c>
      <c r="B99" s="17" t="n">
        <v>17</v>
      </c>
      <c r="C99" s="17" t="n">
        <v>29</v>
      </c>
      <c r="D99" s="18" t="n">
        <v>0.45</v>
      </c>
      <c r="E99" s="19" t="n">
        <v>6.5</v>
      </c>
      <c r="F99" s="19" t="n">
        <v>6.3232</v>
      </c>
      <c r="G99" s="18" t="n">
        <v>0.4578</v>
      </c>
      <c r="H99" s="18" t="n">
        <v>10</v>
      </c>
      <c r="I99" s="19" t="n">
        <v>14.5</v>
      </c>
      <c r="J99" s="18" t="n">
        <v>10.8201</v>
      </c>
      <c r="K99" s="19" t="n">
        <v>14.7385</v>
      </c>
    </row>
    <row r="100" customFormat="false" ht="15" hidden="false" customHeight="false" outlineLevel="0" collapsed="false">
      <c r="A100" s="17" t="s">
        <v>28</v>
      </c>
      <c r="B100" s="17" t="n">
        <v>18</v>
      </c>
      <c r="C100" s="17" t="n">
        <v>29</v>
      </c>
      <c r="D100" s="18" t="n">
        <v>0.45</v>
      </c>
      <c r="E100" s="19" t="n">
        <v>6.5</v>
      </c>
      <c r="F100" s="19" t="n">
        <v>6.398</v>
      </c>
      <c r="G100" s="18" t="n">
        <v>0.4751</v>
      </c>
      <c r="H100" s="18" t="n">
        <v>10</v>
      </c>
      <c r="I100" s="19" t="n">
        <v>14.5</v>
      </c>
      <c r="J100" s="18" t="n">
        <v>11.8473</v>
      </c>
      <c r="K100" s="19" t="n">
        <v>14.6623</v>
      </c>
    </row>
    <row r="101" customFormat="false" ht="15" hidden="false" customHeight="false" outlineLevel="0" collapsed="false">
      <c r="A101" s="17" t="s">
        <v>28</v>
      </c>
      <c r="B101" s="17" t="n">
        <v>19</v>
      </c>
      <c r="C101" s="17" t="n">
        <v>29</v>
      </c>
      <c r="D101" s="18" t="n">
        <v>0.45</v>
      </c>
      <c r="E101" s="19" t="n">
        <v>6.5</v>
      </c>
      <c r="F101" s="19" t="n">
        <v>6.3582</v>
      </c>
      <c r="G101" s="18" t="n">
        <v>0.4587</v>
      </c>
      <c r="H101" s="18" t="n">
        <v>10</v>
      </c>
      <c r="I101" s="19" t="n">
        <v>14.5</v>
      </c>
      <c r="J101" s="18" t="n">
        <v>10.1221</v>
      </c>
      <c r="K101" s="19" t="n">
        <v>14.3903</v>
      </c>
    </row>
    <row r="102" customFormat="false" ht="15" hidden="false" customHeight="false" outlineLevel="0" collapsed="false">
      <c r="A102" s="17" t="s">
        <v>28</v>
      </c>
      <c r="B102" s="17" t="n">
        <v>20</v>
      </c>
      <c r="C102" s="17" t="n">
        <v>24</v>
      </c>
      <c r="D102" s="18" t="n">
        <v>0.45</v>
      </c>
      <c r="E102" s="19" t="n">
        <v>6.5</v>
      </c>
      <c r="F102" s="19" t="n">
        <v>6.3662</v>
      </c>
      <c r="G102" s="18" t="n">
        <v>0.4643</v>
      </c>
      <c r="H102" s="18" t="n">
        <v>10</v>
      </c>
      <c r="I102" s="19" t="n">
        <v>14.5</v>
      </c>
      <c r="J102" s="18" t="n">
        <v>11.0123</v>
      </c>
      <c r="K102" s="19" t="n">
        <v>14.6278</v>
      </c>
    </row>
    <row r="103" customFormat="false" ht="15" hidden="false" customHeight="false" outlineLevel="0" collapsed="false">
      <c r="A103" s="17" t="s">
        <v>28</v>
      </c>
      <c r="B103" s="17" t="n">
        <v>21</v>
      </c>
      <c r="C103" s="17" t="n">
        <v>29</v>
      </c>
      <c r="D103" s="18" t="n">
        <v>0.45</v>
      </c>
      <c r="E103" s="19" t="n">
        <v>6.5</v>
      </c>
      <c r="F103" s="19" t="n">
        <v>6.4215</v>
      </c>
      <c r="G103" s="18" t="n">
        <v>0.4756</v>
      </c>
      <c r="H103" s="18" t="n">
        <v>10</v>
      </c>
      <c r="I103" s="19" t="n">
        <v>14.5</v>
      </c>
      <c r="J103" s="18" t="n">
        <v>9.4832</v>
      </c>
      <c r="K103" s="19" t="n">
        <v>14.7209</v>
      </c>
    </row>
    <row r="104" customFormat="false" ht="15" hidden="false" customHeight="false" outlineLevel="0" collapsed="false">
      <c r="A104" s="17" t="s">
        <v>28</v>
      </c>
      <c r="B104" s="17" t="n">
        <v>22</v>
      </c>
      <c r="C104" s="17" t="n">
        <v>31</v>
      </c>
      <c r="D104" s="18" t="n">
        <v>0.45</v>
      </c>
      <c r="E104" s="19" t="n">
        <v>6.5</v>
      </c>
      <c r="F104" s="19" t="n">
        <v>6.356</v>
      </c>
      <c r="G104" s="18" t="n">
        <v>0.4741</v>
      </c>
      <c r="H104" s="18" t="n">
        <v>10</v>
      </c>
      <c r="I104" s="19" t="n">
        <v>14.5</v>
      </c>
      <c r="J104" s="18" t="n">
        <v>9.4746</v>
      </c>
      <c r="K104" s="19" t="n">
        <v>14.2995</v>
      </c>
    </row>
    <row r="105" customFormat="false" ht="15" hidden="false" customHeight="false" outlineLevel="0" collapsed="false">
      <c r="A105" s="17" t="s">
        <v>28</v>
      </c>
      <c r="B105" s="17" t="n">
        <v>23</v>
      </c>
      <c r="C105" s="17" t="n">
        <v>33</v>
      </c>
      <c r="D105" s="18" t="n">
        <v>0.45</v>
      </c>
      <c r="E105" s="19" t="n">
        <v>6.5</v>
      </c>
      <c r="F105" s="19" t="n">
        <v>6.4326</v>
      </c>
      <c r="G105" s="18" t="n">
        <v>0.4641</v>
      </c>
      <c r="H105" s="18" t="n">
        <v>10</v>
      </c>
      <c r="I105" s="19" t="n">
        <v>14.5</v>
      </c>
      <c r="J105" s="18" t="n">
        <v>10.3378</v>
      </c>
      <c r="K105" s="19" t="n">
        <v>14.4057</v>
      </c>
    </row>
    <row r="106" customFormat="false" ht="15" hidden="false" customHeight="false" outlineLevel="0" collapsed="false">
      <c r="A106" s="17" t="s">
        <v>28</v>
      </c>
      <c r="B106" s="17" t="n">
        <v>24</v>
      </c>
      <c r="C106" s="17" t="n">
        <v>28</v>
      </c>
      <c r="D106" s="18" t="n">
        <v>0.45</v>
      </c>
      <c r="E106" s="19" t="n">
        <v>6.5</v>
      </c>
      <c r="F106" s="19" t="n">
        <v>6.3676</v>
      </c>
      <c r="G106" s="18" t="n">
        <v>0.4697</v>
      </c>
      <c r="H106" s="18" t="n">
        <v>10</v>
      </c>
      <c r="I106" s="19" t="n">
        <v>14.5</v>
      </c>
      <c r="J106" s="18" t="n">
        <v>10.0291</v>
      </c>
      <c r="K106" s="19" t="n">
        <v>14.3795</v>
      </c>
    </row>
    <row r="107" customFormat="false" ht="15" hidden="false" customHeight="false" outlineLevel="0" collapsed="false">
      <c r="A107" s="17" t="s">
        <v>28</v>
      </c>
      <c r="B107" s="17" t="n">
        <v>25</v>
      </c>
      <c r="C107" s="17" t="n">
        <v>30</v>
      </c>
      <c r="D107" s="18" t="n">
        <v>0.45</v>
      </c>
      <c r="E107" s="19" t="n">
        <v>6.5</v>
      </c>
      <c r="F107" s="19" t="n">
        <v>6.3817</v>
      </c>
      <c r="G107" s="18" t="n">
        <v>0.4762</v>
      </c>
      <c r="H107" s="18" t="n">
        <v>10</v>
      </c>
      <c r="I107" s="19" t="n">
        <v>14.5</v>
      </c>
      <c r="J107" s="18" t="n">
        <v>9.4555</v>
      </c>
      <c r="K107" s="19" t="n">
        <v>14.4164</v>
      </c>
    </row>
    <row r="108" customFormat="false" ht="15" hidden="false" customHeight="false" outlineLevel="0" collapsed="false">
      <c r="A108" s="17" t="s">
        <v>28</v>
      </c>
      <c r="B108" s="17" t="n">
        <v>26</v>
      </c>
      <c r="C108" s="17" t="n">
        <v>32</v>
      </c>
      <c r="D108" s="18" t="n">
        <v>0.45</v>
      </c>
      <c r="E108" s="19" t="n">
        <v>6.5</v>
      </c>
      <c r="F108" s="19" t="n">
        <v>6.396</v>
      </c>
      <c r="G108" s="18" t="n">
        <v>0.4705</v>
      </c>
      <c r="H108" s="18" t="n">
        <v>10</v>
      </c>
      <c r="I108" s="19" t="n">
        <v>14.5</v>
      </c>
      <c r="J108" s="18" t="n">
        <v>10.0596</v>
      </c>
      <c r="K108" s="19" t="n">
        <v>14.609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5"/>
  </cols>
  <sheetData>
    <row r="1" customFormat="false" ht="17.35" hidden="false" customHeight="false" outlineLevel="0" collapsed="false">
      <c r="A1" s="9" t="s">
        <v>41</v>
      </c>
    </row>
    <row r="2" customFormat="false" ht="15" hidden="false" customHeight="false" outlineLevel="0" collapsed="false">
      <c r="A2" s="16" t="s">
        <v>42</v>
      </c>
    </row>
    <row r="3" customFormat="false" ht="15" hidden="false" customHeight="false" outlineLevel="0" collapsed="false">
      <c r="A3" s="16" t="s">
        <v>43</v>
      </c>
    </row>
    <row r="5" customFormat="false" ht="26.85" hidden="false" customHeight="false" outlineLevel="0" collapsed="false">
      <c r="A5" s="10" t="s">
        <v>17</v>
      </c>
      <c r="B5" s="10" t="s">
        <v>31</v>
      </c>
      <c r="C5" s="10" t="s">
        <v>32</v>
      </c>
      <c r="D5" s="10" t="s">
        <v>44</v>
      </c>
      <c r="E5" s="10" t="s">
        <v>45</v>
      </c>
      <c r="F5" s="10" t="s">
        <v>46</v>
      </c>
      <c r="G5" s="10" t="s">
        <v>47</v>
      </c>
      <c r="H5" s="10" t="s">
        <v>48</v>
      </c>
      <c r="I5" s="10" t="s">
        <v>49</v>
      </c>
      <c r="J5" s="10" t="s">
        <v>50</v>
      </c>
      <c r="K5" s="10" t="s">
        <v>51</v>
      </c>
      <c r="L5" s="10" t="s">
        <v>52</v>
      </c>
      <c r="M5" s="10" t="s">
        <v>53</v>
      </c>
      <c r="N5" s="10" t="s">
        <v>54</v>
      </c>
    </row>
    <row r="6" customFormat="false" ht="15" hidden="false" customHeight="false" outlineLevel="0" collapsed="false">
      <c r="A6" s="3" t="str">
        <f aca="false">'Daily Data'!A5</f>
        <v>Chicken Momos</v>
      </c>
      <c r="B6" s="3" t="n">
        <f aca="false">'Daily Data'!B5</f>
        <v>1</v>
      </c>
      <c r="C6" s="3" t="n">
        <f aca="false">'Daily Data'!C5</f>
        <v>90</v>
      </c>
      <c r="D6" s="20" t="n">
        <f aca="false">'Daily Data'!G5*'Daily Data'!C5</f>
        <v>32.445</v>
      </c>
      <c r="E6" s="20" t="n">
        <f aca="false">'Daily Data'!D5*'Daily Data'!C5</f>
        <v>31.5</v>
      </c>
      <c r="F6" s="20" t="n">
        <f aca="false">('Daily Data'!J5*'Daily Data'!C5)/60</f>
        <v>8.44275</v>
      </c>
      <c r="G6" s="20" t="n">
        <f aca="false">('Daily Data'!H5*'Daily Data'!C5)/60</f>
        <v>9</v>
      </c>
      <c r="H6" s="21" t="n">
        <f aca="false">('Daily Data'!F5-'Daily Data'!E5)*D6</f>
        <v>-2.2873725</v>
      </c>
      <c r="I6" s="21" t="n">
        <f aca="false">(D6-E6)*'Daily Data'!E5</f>
        <v>3.59100000000001</v>
      </c>
      <c r="J6" s="21" t="n">
        <f aca="false">('Daily Data'!K5-'Daily Data'!I5)*F6</f>
        <v>-0.266790899999993</v>
      </c>
      <c r="K6" s="21" t="n">
        <f aca="false">(F6-G6)*'Daily Data'!I5</f>
        <v>-7.522875</v>
      </c>
      <c r="L6" s="22" t="n">
        <f aca="false">H6+I6</f>
        <v>1.30362750000001</v>
      </c>
      <c r="M6" s="22" t="n">
        <f aca="false">J6+K6</f>
        <v>-7.78966589999999</v>
      </c>
      <c r="N6" s="22" t="n">
        <f aca="false">L6+M6</f>
        <v>-6.48603839999998</v>
      </c>
    </row>
    <row r="7" customFormat="false" ht="15" hidden="false" customHeight="false" outlineLevel="0" collapsed="false">
      <c r="A7" s="3" t="str">
        <f aca="false">'Daily Data'!A6</f>
        <v>Chicken Momos</v>
      </c>
      <c r="B7" s="3" t="n">
        <f aca="false">'Daily Data'!B6</f>
        <v>2</v>
      </c>
      <c r="C7" s="3" t="n">
        <f aca="false">'Daily Data'!C6</f>
        <v>82</v>
      </c>
      <c r="D7" s="20" t="n">
        <f aca="false">'Daily Data'!G6*'Daily Data'!C6</f>
        <v>29.684</v>
      </c>
      <c r="E7" s="20" t="n">
        <f aca="false">'Daily Data'!D6*'Daily Data'!C6</f>
        <v>28.7</v>
      </c>
      <c r="F7" s="20" t="n">
        <f aca="false">('Daily Data'!J6*'Daily Data'!C6)/60</f>
        <v>7.28378666666667</v>
      </c>
      <c r="G7" s="20" t="n">
        <f aca="false">('Daily Data'!H6*'Daily Data'!C6)/60</f>
        <v>8.2</v>
      </c>
      <c r="H7" s="21" t="n">
        <f aca="false">('Daily Data'!F6-'Daily Data'!E6)*D7</f>
        <v>-1.3179696</v>
      </c>
      <c r="I7" s="21" t="n">
        <f aca="false">(D7-E7)*'Daily Data'!E6</f>
        <v>3.73919999999999</v>
      </c>
      <c r="J7" s="21" t="n">
        <f aca="false">('Daily Data'!K6-'Daily Data'!I6)*F7</f>
        <v>0.533173184</v>
      </c>
      <c r="K7" s="21" t="n">
        <f aca="false">(F7-G7)*'Daily Data'!I6</f>
        <v>-12.36888</v>
      </c>
      <c r="L7" s="22" t="n">
        <f aca="false">H7+I7</f>
        <v>2.42123039999999</v>
      </c>
      <c r="M7" s="22" t="n">
        <f aca="false">J7+K7</f>
        <v>-11.835706816</v>
      </c>
      <c r="N7" s="22" t="n">
        <f aca="false">L7+M7</f>
        <v>-9.414476416</v>
      </c>
    </row>
    <row r="8" customFormat="false" ht="15" hidden="false" customHeight="false" outlineLevel="0" collapsed="false">
      <c r="A8" s="3" t="str">
        <f aca="false">'Daily Data'!A7</f>
        <v>Chicken Momos</v>
      </c>
      <c r="B8" s="3" t="n">
        <f aca="false">'Daily Data'!B7</f>
        <v>3</v>
      </c>
      <c r="C8" s="3" t="n">
        <f aca="false">'Daily Data'!C7</f>
        <v>80</v>
      </c>
      <c r="D8" s="20" t="n">
        <f aca="false">'Daily Data'!G7*'Daily Data'!C7</f>
        <v>28.72</v>
      </c>
      <c r="E8" s="20" t="n">
        <f aca="false">'Daily Data'!D7*'Daily Data'!C7</f>
        <v>28</v>
      </c>
      <c r="F8" s="20" t="n">
        <f aca="false">('Daily Data'!J7*'Daily Data'!C7)/60</f>
        <v>6.81733333333333</v>
      </c>
      <c r="G8" s="20" t="n">
        <f aca="false">('Daily Data'!H7*'Daily Data'!C7)/60</f>
        <v>8</v>
      </c>
      <c r="H8" s="21" t="n">
        <f aca="false">('Daily Data'!F7-'Daily Data'!E7)*D8</f>
        <v>-2.16836</v>
      </c>
      <c r="I8" s="21" t="n">
        <f aca="false">(D8-E8)*'Daily Data'!E7</f>
        <v>2.736</v>
      </c>
      <c r="J8" s="21" t="n">
        <f aca="false">('Daily Data'!K7-'Daily Data'!I7)*F8</f>
        <v>-1.58775693333334</v>
      </c>
      <c r="K8" s="21" t="n">
        <f aca="false">(F8-G8)*'Daily Data'!I7</f>
        <v>-15.966</v>
      </c>
      <c r="L8" s="22" t="n">
        <f aca="false">H8+I8</f>
        <v>0.567639999999999</v>
      </c>
      <c r="M8" s="22" t="n">
        <f aca="false">J8+K8</f>
        <v>-17.5537569333333</v>
      </c>
      <c r="N8" s="22" t="n">
        <f aca="false">L8+M8</f>
        <v>-16.9861169333333</v>
      </c>
    </row>
    <row r="9" customFormat="false" ht="15" hidden="false" customHeight="false" outlineLevel="0" collapsed="false">
      <c r="A9" s="3" t="str">
        <f aca="false">'Daily Data'!A8</f>
        <v>Chicken Momos</v>
      </c>
      <c r="B9" s="3" t="n">
        <f aca="false">'Daily Data'!B8</f>
        <v>4</v>
      </c>
      <c r="C9" s="3" t="n">
        <f aca="false">'Daily Data'!C8</f>
        <v>79</v>
      </c>
      <c r="D9" s="20" t="n">
        <f aca="false">'Daily Data'!G8*'Daily Data'!C8</f>
        <v>28.4479</v>
      </c>
      <c r="E9" s="20" t="n">
        <f aca="false">'Daily Data'!D8*'Daily Data'!C8</f>
        <v>27.65</v>
      </c>
      <c r="F9" s="20" t="n">
        <f aca="false">('Daily Data'!J8*'Daily Data'!C8)/60</f>
        <v>6.93067</v>
      </c>
      <c r="G9" s="20" t="n">
        <f aca="false">('Daily Data'!H8*'Daily Data'!C8)/60</f>
        <v>7.9</v>
      </c>
      <c r="H9" s="21" t="n">
        <f aca="false">('Daily Data'!F8-'Daily Data'!E8)*D9</f>
        <v>-2.38393401999999</v>
      </c>
      <c r="I9" s="21" t="n">
        <f aca="false">(D9-E9)*'Daily Data'!E8</f>
        <v>3.03201999999999</v>
      </c>
      <c r="J9" s="21" t="n">
        <f aca="false">('Daily Data'!K8-'Daily Data'!I8)*F9</f>
        <v>-1.321678769</v>
      </c>
      <c r="K9" s="21" t="n">
        <f aca="false">(F9-G9)*'Daily Data'!I8</f>
        <v>-13.085955</v>
      </c>
      <c r="L9" s="22" t="n">
        <f aca="false">H9+I9</f>
        <v>0.648085980000004</v>
      </c>
      <c r="M9" s="22" t="n">
        <f aca="false">J9+K9</f>
        <v>-14.407633769</v>
      </c>
      <c r="N9" s="22" t="n">
        <f aca="false">L9+M9</f>
        <v>-13.759547789</v>
      </c>
    </row>
    <row r="10" customFormat="false" ht="15" hidden="false" customHeight="false" outlineLevel="0" collapsed="false">
      <c r="A10" s="3" t="str">
        <f aca="false">'Daily Data'!A9</f>
        <v>Chicken Momos</v>
      </c>
      <c r="B10" s="3" t="n">
        <f aca="false">'Daily Data'!B9</f>
        <v>5</v>
      </c>
      <c r="C10" s="3" t="n">
        <f aca="false">'Daily Data'!C9</f>
        <v>99</v>
      </c>
      <c r="D10" s="20" t="n">
        <f aca="false">'Daily Data'!G9*'Daily Data'!C9</f>
        <v>35.5509</v>
      </c>
      <c r="E10" s="20" t="n">
        <f aca="false">'Daily Data'!D9*'Daily Data'!C9</f>
        <v>34.65</v>
      </c>
      <c r="F10" s="20" t="n">
        <f aca="false">('Daily Data'!J9*'Daily Data'!C9)/60</f>
        <v>8.557395</v>
      </c>
      <c r="G10" s="20" t="n">
        <f aca="false">('Daily Data'!H9*'Daily Data'!C9)/60</f>
        <v>9.9</v>
      </c>
      <c r="H10" s="21" t="n">
        <f aca="false">('Daily Data'!F9-'Daily Data'!E9)*D10</f>
        <v>-2.55255461999999</v>
      </c>
      <c r="I10" s="21" t="n">
        <f aca="false">(D10-E10)*'Daily Data'!E9</f>
        <v>3.42342</v>
      </c>
      <c r="J10" s="21" t="n">
        <f aca="false">('Daily Data'!K9-'Daily Data'!I9)*F10</f>
        <v>-0.628968532499994</v>
      </c>
      <c r="K10" s="21" t="n">
        <f aca="false">(F10-G10)*'Daily Data'!I9</f>
        <v>-18.1251675</v>
      </c>
      <c r="L10" s="22" t="n">
        <f aca="false">H10+I10</f>
        <v>0.870865380000013</v>
      </c>
      <c r="M10" s="22" t="n">
        <f aca="false">J10+K10</f>
        <v>-18.7541360325</v>
      </c>
      <c r="N10" s="22" t="n">
        <f aca="false">L10+M10</f>
        <v>-17.8832706525</v>
      </c>
    </row>
    <row r="11" customFormat="false" ht="15" hidden="false" customHeight="false" outlineLevel="0" collapsed="false">
      <c r="A11" s="3" t="str">
        <f aca="false">'Daily Data'!A10</f>
        <v>Chicken Momos</v>
      </c>
      <c r="B11" s="3" t="n">
        <f aca="false">'Daily Data'!B10</f>
        <v>6</v>
      </c>
      <c r="C11" s="3" t="n">
        <f aca="false">'Daily Data'!C10</f>
        <v>86</v>
      </c>
      <c r="D11" s="20" t="n">
        <f aca="false">'Daily Data'!G10*'Daily Data'!C10</f>
        <v>31.1234</v>
      </c>
      <c r="E11" s="20" t="n">
        <f aca="false">'Daily Data'!D10*'Daily Data'!C10</f>
        <v>30.1</v>
      </c>
      <c r="F11" s="20" t="n">
        <f aca="false">('Daily Data'!J10*'Daily Data'!C10)/60</f>
        <v>7.61085666666667</v>
      </c>
      <c r="G11" s="20" t="n">
        <f aca="false">('Daily Data'!H10*'Daily Data'!C10)/60</f>
        <v>8.6</v>
      </c>
      <c r="H11" s="21" t="n">
        <f aca="false">('Daily Data'!F10-'Daily Data'!E10)*D11</f>
        <v>-2.67350005999999</v>
      </c>
      <c r="I11" s="21" t="n">
        <f aca="false">(D11-E11)*'Daily Data'!E10</f>
        <v>3.88892000000001</v>
      </c>
      <c r="J11" s="21" t="n">
        <f aca="false">('Daily Data'!K10-'Daily Data'!I10)*F11</f>
        <v>-0.299867752666671</v>
      </c>
      <c r="K11" s="21" t="n">
        <f aca="false">(F11-G11)*'Daily Data'!I10</f>
        <v>-13.353435</v>
      </c>
      <c r="L11" s="22" t="n">
        <f aca="false">H11+I11</f>
        <v>1.21541994000002</v>
      </c>
      <c r="M11" s="22" t="n">
        <f aca="false">J11+K11</f>
        <v>-13.6533027526667</v>
      </c>
      <c r="N11" s="22" t="n">
        <f aca="false">L11+M11</f>
        <v>-12.4378828126667</v>
      </c>
    </row>
    <row r="12" customFormat="false" ht="15" hidden="false" customHeight="false" outlineLevel="0" collapsed="false">
      <c r="A12" s="3" t="str">
        <f aca="false">'Daily Data'!A11</f>
        <v>Chicken Momos</v>
      </c>
      <c r="B12" s="3" t="n">
        <f aca="false">'Daily Data'!B11</f>
        <v>7</v>
      </c>
      <c r="C12" s="3" t="n">
        <f aca="false">'Daily Data'!C11</f>
        <v>78</v>
      </c>
      <c r="D12" s="20" t="n">
        <f aca="false">'Daily Data'!G11*'Daily Data'!C11</f>
        <v>28.0722</v>
      </c>
      <c r="E12" s="20" t="n">
        <f aca="false">'Daily Data'!D11*'Daily Data'!C11</f>
        <v>27.3</v>
      </c>
      <c r="F12" s="20" t="n">
        <f aca="false">('Daily Data'!J11*'Daily Data'!C11)/60</f>
        <v>6.81369</v>
      </c>
      <c r="G12" s="20" t="n">
        <f aca="false">('Daily Data'!H11*'Daily Data'!C11)/60</f>
        <v>7.8</v>
      </c>
      <c r="H12" s="21" t="n">
        <f aca="false">('Daily Data'!F11-'Daily Data'!E11)*D12</f>
        <v>-1.12850244</v>
      </c>
      <c r="I12" s="21" t="n">
        <f aca="false">(D12-E12)*'Daily Data'!E11</f>
        <v>2.93436000000001</v>
      </c>
      <c r="J12" s="21" t="n">
        <f aca="false">('Daily Data'!K11-'Daily Data'!I11)*F12</f>
        <v>0.756319590000004</v>
      </c>
      <c r="K12" s="21" t="n">
        <f aca="false">(F12-G12)*'Daily Data'!I11</f>
        <v>-13.315185</v>
      </c>
      <c r="L12" s="22" t="n">
        <f aca="false">H12+I12</f>
        <v>1.80585756000001</v>
      </c>
      <c r="M12" s="22" t="n">
        <f aca="false">J12+K12</f>
        <v>-12.55886541</v>
      </c>
      <c r="N12" s="22" t="n">
        <f aca="false">L12+M12</f>
        <v>-10.75300785</v>
      </c>
    </row>
    <row r="13" customFormat="false" ht="15" hidden="false" customHeight="false" outlineLevel="0" collapsed="false">
      <c r="A13" s="3" t="str">
        <f aca="false">'Daily Data'!A12</f>
        <v>Chicken Momos</v>
      </c>
      <c r="B13" s="3" t="n">
        <f aca="false">'Daily Data'!B12</f>
        <v>8</v>
      </c>
      <c r="C13" s="3" t="n">
        <f aca="false">'Daily Data'!C12</f>
        <v>72</v>
      </c>
      <c r="D13" s="20" t="n">
        <f aca="false">'Daily Data'!G12*'Daily Data'!C12</f>
        <v>24.9768</v>
      </c>
      <c r="E13" s="20" t="n">
        <f aca="false">'Daily Data'!D12*'Daily Data'!C12</f>
        <v>25.2</v>
      </c>
      <c r="F13" s="20" t="n">
        <f aca="false">('Daily Data'!J12*'Daily Data'!C12)/60</f>
        <v>6.24096</v>
      </c>
      <c r="G13" s="20" t="n">
        <f aca="false">('Daily Data'!H12*'Daily Data'!C12)/60</f>
        <v>7.2</v>
      </c>
      <c r="H13" s="21" t="n">
        <f aca="false">('Daily Data'!F12-'Daily Data'!E12)*D13</f>
        <v>-1.62848736</v>
      </c>
      <c r="I13" s="21" t="n">
        <f aca="false">(D13-E13)*'Daily Data'!E12</f>
        <v>-0.848160000000008</v>
      </c>
      <c r="J13" s="21" t="n">
        <f aca="false">('Daily Data'!K12-'Daily Data'!I12)*F13</f>
        <v>0.166009536000001</v>
      </c>
      <c r="K13" s="21" t="n">
        <f aca="false">(F13-G13)*'Daily Data'!I12</f>
        <v>-12.94704</v>
      </c>
      <c r="L13" s="22" t="n">
        <f aca="false">H13+I13</f>
        <v>-2.47664736000001</v>
      </c>
      <c r="M13" s="22" t="n">
        <f aca="false">J13+K13</f>
        <v>-12.781030464</v>
      </c>
      <c r="N13" s="22" t="n">
        <f aca="false">L13+M13</f>
        <v>-15.257677824</v>
      </c>
    </row>
    <row r="14" customFormat="false" ht="15" hidden="false" customHeight="false" outlineLevel="0" collapsed="false">
      <c r="A14" s="3" t="str">
        <f aca="false">'Daily Data'!A13</f>
        <v>Chicken Momos</v>
      </c>
      <c r="B14" s="3" t="n">
        <f aca="false">'Daily Data'!B13</f>
        <v>9</v>
      </c>
      <c r="C14" s="3" t="n">
        <f aca="false">'Daily Data'!C13</f>
        <v>92</v>
      </c>
      <c r="D14" s="20" t="n">
        <f aca="false">'Daily Data'!G13*'Daily Data'!C13</f>
        <v>33.166</v>
      </c>
      <c r="E14" s="20" t="n">
        <f aca="false">'Daily Data'!D13*'Daily Data'!C13</f>
        <v>32.2</v>
      </c>
      <c r="F14" s="20" t="n">
        <f aca="false">('Daily Data'!J13*'Daily Data'!C13)/60</f>
        <v>8.21069333333333</v>
      </c>
      <c r="G14" s="20" t="n">
        <f aca="false">('Daily Data'!H13*'Daily Data'!C13)/60</f>
        <v>9.2</v>
      </c>
      <c r="H14" s="21" t="n">
        <f aca="false">('Daily Data'!F13-'Daily Data'!E13)*D14</f>
        <v>-2.1823228</v>
      </c>
      <c r="I14" s="21" t="n">
        <f aca="false">(D14-E14)*'Daily Data'!E13</f>
        <v>3.6708</v>
      </c>
      <c r="J14" s="21" t="n">
        <f aca="false">('Daily Data'!K13-'Daily Data'!I13)*F14</f>
        <v>-1.63885438933334</v>
      </c>
      <c r="K14" s="21" t="n">
        <f aca="false">(F14-G14)*'Daily Data'!I13</f>
        <v>-13.35564</v>
      </c>
      <c r="L14" s="22" t="n">
        <f aca="false">H14+I14</f>
        <v>1.48847720000001</v>
      </c>
      <c r="M14" s="22" t="n">
        <f aca="false">J14+K14</f>
        <v>-14.9944943893333</v>
      </c>
      <c r="N14" s="22" t="n">
        <f aca="false">L14+M14</f>
        <v>-13.5060171893333</v>
      </c>
    </row>
    <row r="15" customFormat="false" ht="15" hidden="false" customHeight="false" outlineLevel="0" collapsed="false">
      <c r="A15" s="3" t="str">
        <f aca="false">'Daily Data'!A14</f>
        <v>Chicken Momos</v>
      </c>
      <c r="B15" s="3" t="n">
        <f aca="false">'Daily Data'!B14</f>
        <v>10</v>
      </c>
      <c r="C15" s="3" t="n">
        <f aca="false">'Daily Data'!C14</f>
        <v>77</v>
      </c>
      <c r="D15" s="20" t="n">
        <f aca="false">'Daily Data'!G14*'Daily Data'!C14</f>
        <v>28.4438</v>
      </c>
      <c r="E15" s="20" t="n">
        <f aca="false">'Daily Data'!D14*'Daily Data'!C14</f>
        <v>26.95</v>
      </c>
      <c r="F15" s="20" t="n">
        <f aca="false">('Daily Data'!J14*'Daily Data'!C14)/60</f>
        <v>6.99609166666667</v>
      </c>
      <c r="G15" s="20" t="n">
        <f aca="false">('Daily Data'!H14*'Daily Data'!C14)/60</f>
        <v>7.7</v>
      </c>
      <c r="H15" s="21" t="n">
        <f aca="false">('Daily Data'!F14-'Daily Data'!E14)*D15</f>
        <v>-2.14466251999999</v>
      </c>
      <c r="I15" s="21" t="n">
        <f aca="false">(D15-E15)*'Daily Data'!E14</f>
        <v>5.67644</v>
      </c>
      <c r="J15" s="21" t="n">
        <f aca="false">('Daily Data'!K14-'Daily Data'!I14)*F15</f>
        <v>-1.66506981666666</v>
      </c>
      <c r="K15" s="21" t="n">
        <f aca="false">(F15-G15)*'Daily Data'!I14</f>
        <v>-9.50276249999999</v>
      </c>
      <c r="L15" s="22" t="n">
        <f aca="false">H15+I15</f>
        <v>3.53177748000001</v>
      </c>
      <c r="M15" s="22" t="n">
        <f aca="false">J15+K15</f>
        <v>-11.1678323166667</v>
      </c>
      <c r="N15" s="22" t="n">
        <f aca="false">L15+M15</f>
        <v>-7.63605483666665</v>
      </c>
    </row>
    <row r="16" customFormat="false" ht="15" hidden="false" customHeight="false" outlineLevel="0" collapsed="false">
      <c r="A16" s="3" t="str">
        <f aca="false">'Daily Data'!A15</f>
        <v>Chicken Momos</v>
      </c>
      <c r="B16" s="3" t="n">
        <f aca="false">'Daily Data'!B15</f>
        <v>11</v>
      </c>
      <c r="C16" s="3" t="n">
        <f aca="false">'Daily Data'!C15</f>
        <v>88</v>
      </c>
      <c r="D16" s="20" t="n">
        <f aca="false">'Daily Data'!G15*'Daily Data'!C15</f>
        <v>31.4952</v>
      </c>
      <c r="E16" s="20" t="n">
        <f aca="false">'Daily Data'!D15*'Daily Data'!C15</f>
        <v>30.8</v>
      </c>
      <c r="F16" s="20" t="n">
        <f aca="false">('Daily Data'!J15*'Daily Data'!C15)/60</f>
        <v>8.05464</v>
      </c>
      <c r="G16" s="20" t="n">
        <f aca="false">('Daily Data'!H15*'Daily Data'!C15)/60</f>
        <v>8.8</v>
      </c>
      <c r="H16" s="21" t="n">
        <f aca="false">('Daily Data'!F15-'Daily Data'!E15)*D16</f>
        <v>-2.34009336</v>
      </c>
      <c r="I16" s="21" t="n">
        <f aca="false">(D16-E16)*'Daily Data'!E15</f>
        <v>2.64176000000001</v>
      </c>
      <c r="J16" s="21" t="n">
        <f aca="false">('Daily Data'!K15-'Daily Data'!I15)*F16</f>
        <v>1.12120588800001</v>
      </c>
      <c r="K16" s="21" t="n">
        <f aca="false">(F16-G16)*'Daily Data'!I15</f>
        <v>-10.06236</v>
      </c>
      <c r="L16" s="22" t="n">
        <f aca="false">H16+I16</f>
        <v>0.301666640000012</v>
      </c>
      <c r="M16" s="22" t="n">
        <f aca="false">J16+K16</f>
        <v>-8.94115411200002</v>
      </c>
      <c r="N16" s="22" t="n">
        <f aca="false">L16+M16</f>
        <v>-8.639487472</v>
      </c>
    </row>
    <row r="17" customFormat="false" ht="15" hidden="false" customHeight="false" outlineLevel="0" collapsed="false">
      <c r="A17" s="3" t="str">
        <f aca="false">'Daily Data'!A16</f>
        <v>Chicken Momos</v>
      </c>
      <c r="B17" s="3" t="n">
        <f aca="false">'Daily Data'!B16</f>
        <v>12</v>
      </c>
      <c r="C17" s="3" t="n">
        <f aca="false">'Daily Data'!C16</f>
        <v>94</v>
      </c>
      <c r="D17" s="20" t="n">
        <f aca="false">'Daily Data'!G16*'Daily Data'!C16</f>
        <v>33.9528</v>
      </c>
      <c r="E17" s="20" t="n">
        <f aca="false">'Daily Data'!D16*'Daily Data'!C16</f>
        <v>32.9</v>
      </c>
      <c r="F17" s="20" t="n">
        <f aca="false">('Daily Data'!J16*'Daily Data'!C16)/60</f>
        <v>8.53786333333333</v>
      </c>
      <c r="G17" s="20" t="n">
        <f aca="false">('Daily Data'!H16*'Daily Data'!C16)/60</f>
        <v>9.4</v>
      </c>
      <c r="H17" s="21" t="n">
        <f aca="false">('Daily Data'!F16-'Daily Data'!E16)*D17</f>
        <v>-2.75696736</v>
      </c>
      <c r="I17" s="21" t="n">
        <f aca="false">(D17-E17)*'Daily Data'!E16</f>
        <v>4.00064000000002</v>
      </c>
      <c r="J17" s="21" t="n">
        <f aca="false">('Daily Data'!K16-'Daily Data'!I16)*F17</f>
        <v>1.124436601</v>
      </c>
      <c r="K17" s="21" t="n">
        <f aca="false">(F17-G17)*'Daily Data'!I16</f>
        <v>-11.638845</v>
      </c>
      <c r="L17" s="22" t="n">
        <f aca="false">H17+I17</f>
        <v>1.24367264000002</v>
      </c>
      <c r="M17" s="22" t="n">
        <f aca="false">J17+K17</f>
        <v>-10.514408399</v>
      </c>
      <c r="N17" s="22" t="n">
        <f aca="false">L17+M17</f>
        <v>-9.270735759</v>
      </c>
    </row>
    <row r="18" customFormat="false" ht="15" hidden="false" customHeight="false" outlineLevel="0" collapsed="false">
      <c r="A18" s="3" t="str">
        <f aca="false">'Daily Data'!A17</f>
        <v>Chicken Momos</v>
      </c>
      <c r="B18" s="3" t="n">
        <f aca="false">'Daily Data'!B17</f>
        <v>13</v>
      </c>
      <c r="C18" s="3" t="n">
        <f aca="false">'Daily Data'!C17</f>
        <v>80</v>
      </c>
      <c r="D18" s="20" t="n">
        <f aca="false">'Daily Data'!G17*'Daily Data'!C17</f>
        <v>28.504</v>
      </c>
      <c r="E18" s="20" t="n">
        <f aca="false">'Daily Data'!D17*'Daily Data'!C17</f>
        <v>28</v>
      </c>
      <c r="F18" s="20" t="n">
        <f aca="false">('Daily Data'!J17*'Daily Data'!C17)/60</f>
        <v>6.9608</v>
      </c>
      <c r="G18" s="20" t="n">
        <f aca="false">('Daily Data'!H17*'Daily Data'!C17)/60</f>
        <v>8</v>
      </c>
      <c r="H18" s="21" t="n">
        <f aca="false">('Daily Data'!F17-'Daily Data'!E17)*D18</f>
        <v>-2.02948479999999</v>
      </c>
      <c r="I18" s="21" t="n">
        <f aca="false">(D18-E18)*'Daily Data'!E17</f>
        <v>1.91520000000001</v>
      </c>
      <c r="J18" s="21" t="n">
        <f aca="false">('Daily Data'!K17-'Daily Data'!I17)*F18</f>
        <v>0.763599760000001</v>
      </c>
      <c r="K18" s="21" t="n">
        <f aca="false">(F18-G18)*'Daily Data'!I17</f>
        <v>-14.0292</v>
      </c>
      <c r="L18" s="22" t="n">
        <f aca="false">H18+I18</f>
        <v>-0.114284799999987</v>
      </c>
      <c r="M18" s="22" t="n">
        <f aca="false">J18+K18</f>
        <v>-13.26560024</v>
      </c>
      <c r="N18" s="22" t="n">
        <f aca="false">L18+M18</f>
        <v>-13.37988504</v>
      </c>
    </row>
    <row r="19" customFormat="false" ht="15" hidden="false" customHeight="false" outlineLevel="0" collapsed="false">
      <c r="A19" s="3" t="str">
        <f aca="false">'Daily Data'!A18</f>
        <v>Chicken Momos</v>
      </c>
      <c r="B19" s="3" t="n">
        <f aca="false">'Daily Data'!B18</f>
        <v>14</v>
      </c>
      <c r="C19" s="3" t="n">
        <f aca="false">'Daily Data'!C18</f>
        <v>98</v>
      </c>
      <c r="D19" s="20" t="n">
        <f aca="false">'Daily Data'!G18*'Daily Data'!C18</f>
        <v>36.4266</v>
      </c>
      <c r="E19" s="20" t="n">
        <f aca="false">'Daily Data'!D18*'Daily Data'!C18</f>
        <v>34.3</v>
      </c>
      <c r="F19" s="20" t="n">
        <f aca="false">('Daily Data'!J18*'Daily Data'!C18)/60</f>
        <v>8.90852666666667</v>
      </c>
      <c r="G19" s="20" t="n">
        <f aca="false">('Daily Data'!H18*'Daily Data'!C18)/60</f>
        <v>9.8</v>
      </c>
      <c r="H19" s="21" t="n">
        <f aca="false">('Daily Data'!F18-'Daily Data'!E18)*D19</f>
        <v>-2.53164869999999</v>
      </c>
      <c r="I19" s="21" t="n">
        <f aca="false">(D19-E19)*'Daily Data'!E18</f>
        <v>8.08108000000001</v>
      </c>
      <c r="J19" s="21" t="n">
        <f aca="false">('Daily Data'!K18-'Daily Data'!I18)*F19</f>
        <v>-0.775932672666662</v>
      </c>
      <c r="K19" s="21" t="n">
        <f aca="false">(F19-G19)*'Daily Data'!I18</f>
        <v>-12.03489</v>
      </c>
      <c r="L19" s="22" t="n">
        <f aca="false">H19+I19</f>
        <v>5.54943130000002</v>
      </c>
      <c r="M19" s="22" t="n">
        <f aca="false">J19+K19</f>
        <v>-12.8108226726667</v>
      </c>
      <c r="N19" s="22" t="n">
        <f aca="false">L19+M19</f>
        <v>-7.26139137266665</v>
      </c>
    </row>
    <row r="20" customFormat="false" ht="15" hidden="false" customHeight="false" outlineLevel="0" collapsed="false">
      <c r="A20" s="3" t="str">
        <f aca="false">'Daily Data'!A19</f>
        <v>Chicken Momos</v>
      </c>
      <c r="B20" s="3" t="n">
        <f aca="false">'Daily Data'!B19</f>
        <v>15</v>
      </c>
      <c r="C20" s="3" t="n">
        <f aca="false">'Daily Data'!C19</f>
        <v>88</v>
      </c>
      <c r="D20" s="20" t="n">
        <f aca="false">'Daily Data'!G19*'Daily Data'!C19</f>
        <v>32.1288</v>
      </c>
      <c r="E20" s="20" t="n">
        <f aca="false">'Daily Data'!D19*'Daily Data'!C19</f>
        <v>30.8</v>
      </c>
      <c r="F20" s="20" t="n">
        <f aca="false">('Daily Data'!J19*'Daily Data'!C19)/60</f>
        <v>8.26422666666667</v>
      </c>
      <c r="G20" s="20" t="n">
        <f aca="false">('Daily Data'!H19*'Daily Data'!C19)/60</f>
        <v>8.8</v>
      </c>
      <c r="H20" s="21" t="n">
        <f aca="false">('Daily Data'!F19-'Daily Data'!E19)*D20</f>
        <v>-1.445796</v>
      </c>
      <c r="I20" s="21" t="n">
        <f aca="false">(D20-E20)*'Daily Data'!E19</f>
        <v>5.04944</v>
      </c>
      <c r="J20" s="21" t="n">
        <f aca="false">('Daily Data'!K19-'Daily Data'!I19)*F20</f>
        <v>-2.923056972</v>
      </c>
      <c r="K20" s="21" t="n">
        <f aca="false">(F20-G20)*'Daily Data'!I19</f>
        <v>-7.23294000000002</v>
      </c>
      <c r="L20" s="22" t="n">
        <f aca="false">H20+I20</f>
        <v>3.60364400000001</v>
      </c>
      <c r="M20" s="22" t="n">
        <f aca="false">J20+K20</f>
        <v>-10.155996972</v>
      </c>
      <c r="N20" s="22" t="n">
        <f aca="false">L20+M20</f>
        <v>-6.55235297200002</v>
      </c>
    </row>
    <row r="21" customFormat="false" ht="15" hidden="false" customHeight="false" outlineLevel="0" collapsed="false">
      <c r="A21" s="3" t="str">
        <f aca="false">'Daily Data'!A20</f>
        <v>Chicken Momos</v>
      </c>
      <c r="B21" s="3" t="n">
        <f aca="false">'Daily Data'!B20</f>
        <v>16</v>
      </c>
      <c r="C21" s="3" t="n">
        <f aca="false">'Daily Data'!C20</f>
        <v>93</v>
      </c>
      <c r="D21" s="20" t="n">
        <f aca="false">'Daily Data'!G20*'Daily Data'!C20</f>
        <v>33.8427</v>
      </c>
      <c r="E21" s="20" t="n">
        <f aca="false">'Daily Data'!D20*'Daily Data'!C20</f>
        <v>32.55</v>
      </c>
      <c r="F21" s="20" t="n">
        <f aca="false">('Daily Data'!J20*'Daily Data'!C20)/60</f>
        <v>8.39139</v>
      </c>
      <c r="G21" s="20" t="n">
        <f aca="false">('Daily Data'!H20*'Daily Data'!C20)/60</f>
        <v>9.3</v>
      </c>
      <c r="H21" s="21" t="n">
        <f aca="false">('Daily Data'!F20-'Daily Data'!E20)*D21</f>
        <v>-2.27084517</v>
      </c>
      <c r="I21" s="21" t="n">
        <f aca="false">(D21-E21)*'Daily Data'!E20</f>
        <v>4.91226000000001</v>
      </c>
      <c r="J21" s="21" t="n">
        <f aca="false">('Daily Data'!K20-'Daily Data'!I20)*F21</f>
        <v>-2.251409937</v>
      </c>
      <c r="K21" s="21" t="n">
        <f aca="false">(F21-G21)*'Daily Data'!I20</f>
        <v>-12.266235</v>
      </c>
      <c r="L21" s="22" t="n">
        <f aca="false">H21+I21</f>
        <v>2.64141483000002</v>
      </c>
      <c r="M21" s="22" t="n">
        <f aca="false">J21+K21</f>
        <v>-14.517644937</v>
      </c>
      <c r="N21" s="22" t="n">
        <f aca="false">L21+M21</f>
        <v>-11.876230107</v>
      </c>
    </row>
    <row r="22" customFormat="false" ht="15" hidden="false" customHeight="false" outlineLevel="0" collapsed="false">
      <c r="A22" s="3" t="str">
        <f aca="false">'Daily Data'!A21</f>
        <v>Chicken Momos</v>
      </c>
      <c r="B22" s="3" t="n">
        <f aca="false">'Daily Data'!B21</f>
        <v>17</v>
      </c>
      <c r="C22" s="3" t="n">
        <f aca="false">'Daily Data'!C21</f>
        <v>82</v>
      </c>
      <c r="D22" s="20" t="n">
        <f aca="false">'Daily Data'!G21*'Daily Data'!C21</f>
        <v>30.914</v>
      </c>
      <c r="E22" s="20" t="n">
        <f aca="false">'Daily Data'!D21*'Daily Data'!C21</f>
        <v>28.7</v>
      </c>
      <c r="F22" s="20" t="n">
        <f aca="false">('Daily Data'!J21*'Daily Data'!C21)/60</f>
        <v>7.27381</v>
      </c>
      <c r="G22" s="20" t="n">
        <f aca="false">('Daily Data'!H21*'Daily Data'!C21)/60</f>
        <v>8.2</v>
      </c>
      <c r="H22" s="21" t="n">
        <f aca="false">('Daily Data'!F21-'Daily Data'!E21)*D22</f>
        <v>-1.94758199999999</v>
      </c>
      <c r="I22" s="21" t="n">
        <f aca="false">(D22-E22)*'Daily Data'!E21</f>
        <v>8.41320000000001</v>
      </c>
      <c r="J22" s="21" t="n">
        <f aca="false">('Daily Data'!K21-'Daily Data'!I21)*F22</f>
        <v>-0.793572670999998</v>
      </c>
      <c r="K22" s="21" t="n">
        <f aca="false">(F22-G22)*'Daily Data'!I21</f>
        <v>-12.503565</v>
      </c>
      <c r="L22" s="22" t="n">
        <f aca="false">H22+I22</f>
        <v>6.46561800000002</v>
      </c>
      <c r="M22" s="22" t="n">
        <f aca="false">J22+K22</f>
        <v>-13.297137671</v>
      </c>
      <c r="N22" s="22" t="n">
        <f aca="false">L22+M22</f>
        <v>-6.83151967099997</v>
      </c>
    </row>
    <row r="23" customFormat="false" ht="15" hidden="false" customHeight="false" outlineLevel="0" collapsed="false">
      <c r="A23" s="3" t="str">
        <f aca="false">'Daily Data'!A22</f>
        <v>Chicken Momos</v>
      </c>
      <c r="B23" s="3" t="n">
        <f aca="false">'Daily Data'!B22</f>
        <v>18</v>
      </c>
      <c r="C23" s="3" t="n">
        <f aca="false">'Daily Data'!C22</f>
        <v>79</v>
      </c>
      <c r="D23" s="20" t="n">
        <f aca="false">'Daily Data'!G22*'Daily Data'!C22</f>
        <v>29.2063</v>
      </c>
      <c r="E23" s="20" t="n">
        <f aca="false">'Daily Data'!D22*'Daily Data'!C22</f>
        <v>27.65</v>
      </c>
      <c r="F23" s="20" t="n">
        <f aca="false">('Daily Data'!J22*'Daily Data'!C22)/60</f>
        <v>7.005325</v>
      </c>
      <c r="G23" s="20" t="n">
        <f aca="false">('Daily Data'!H22*'Daily Data'!C22)/60</f>
        <v>7.9</v>
      </c>
      <c r="H23" s="21" t="n">
        <f aca="false">('Daily Data'!F22-'Daily Data'!E22)*D23</f>
        <v>-1.59174335</v>
      </c>
      <c r="I23" s="21" t="n">
        <f aca="false">(D23-E23)*'Daily Data'!E22</f>
        <v>5.91394</v>
      </c>
      <c r="J23" s="21" t="n">
        <f aca="false">('Daily Data'!K22-'Daily Data'!I22)*F23</f>
        <v>0.485469022500001</v>
      </c>
      <c r="K23" s="21" t="n">
        <f aca="false">(F23-G23)*'Daily Data'!I22</f>
        <v>-12.0781125</v>
      </c>
      <c r="L23" s="22" t="n">
        <f aca="false">H23+I23</f>
        <v>4.32219665</v>
      </c>
      <c r="M23" s="22" t="n">
        <f aca="false">J23+K23</f>
        <v>-11.5926434775</v>
      </c>
      <c r="N23" s="22" t="n">
        <f aca="false">L23+M23</f>
        <v>-7.2704468275</v>
      </c>
    </row>
    <row r="24" customFormat="false" ht="15" hidden="false" customHeight="false" outlineLevel="0" collapsed="false">
      <c r="A24" s="3" t="str">
        <f aca="false">'Daily Data'!A23</f>
        <v>Chicken Momos</v>
      </c>
      <c r="B24" s="3" t="n">
        <f aca="false">'Daily Data'!B23</f>
        <v>19</v>
      </c>
      <c r="C24" s="3" t="n">
        <f aca="false">'Daily Data'!C23</f>
        <v>85</v>
      </c>
      <c r="D24" s="20" t="n">
        <f aca="false">'Daily Data'!G23*'Daily Data'!C23</f>
        <v>30.8635</v>
      </c>
      <c r="E24" s="20" t="n">
        <f aca="false">'Daily Data'!D23*'Daily Data'!C23</f>
        <v>29.75</v>
      </c>
      <c r="F24" s="20" t="n">
        <f aca="false">('Daily Data'!J23*'Daily Data'!C23)/60</f>
        <v>7.58044166666667</v>
      </c>
      <c r="G24" s="20" t="n">
        <f aca="false">('Daily Data'!H23*'Daily Data'!C23)/60</f>
        <v>8.5</v>
      </c>
      <c r="H24" s="21" t="n">
        <f aca="false">('Daily Data'!F23-'Daily Data'!E23)*D24</f>
        <v>-1.65736994999999</v>
      </c>
      <c r="I24" s="21" t="n">
        <f aca="false">(D24-E24)*'Daily Data'!E23</f>
        <v>4.23130000000001</v>
      </c>
      <c r="J24" s="21" t="n">
        <f aca="false">('Daily Data'!K23-'Daily Data'!I23)*F24</f>
        <v>-0.401005364166661</v>
      </c>
      <c r="K24" s="21" t="n">
        <f aca="false">(F24-G24)*'Daily Data'!I23</f>
        <v>-12.4140375</v>
      </c>
      <c r="L24" s="22" t="n">
        <f aca="false">H24+I24</f>
        <v>2.57393005000002</v>
      </c>
      <c r="M24" s="22" t="n">
        <f aca="false">J24+K24</f>
        <v>-12.8150428641667</v>
      </c>
      <c r="N24" s="22" t="n">
        <f aca="false">L24+M24</f>
        <v>-10.2411128141666</v>
      </c>
    </row>
    <row r="25" customFormat="false" ht="15" hidden="false" customHeight="false" outlineLevel="0" collapsed="false">
      <c r="A25" s="3" t="str">
        <f aca="false">'Daily Data'!A24</f>
        <v>Chicken Momos</v>
      </c>
      <c r="B25" s="3" t="n">
        <f aca="false">'Daily Data'!B24</f>
        <v>20</v>
      </c>
      <c r="C25" s="3" t="n">
        <f aca="false">'Daily Data'!C24</f>
        <v>70</v>
      </c>
      <c r="D25" s="20" t="n">
        <f aca="false">'Daily Data'!G24*'Daily Data'!C24</f>
        <v>25.935</v>
      </c>
      <c r="E25" s="20" t="n">
        <f aca="false">'Daily Data'!D24*'Daily Data'!C24</f>
        <v>24.5</v>
      </c>
      <c r="F25" s="20" t="n">
        <f aca="false">('Daily Data'!J24*'Daily Data'!C24)/60</f>
        <v>6.30093333333333</v>
      </c>
      <c r="G25" s="20" t="n">
        <f aca="false">('Daily Data'!H24*'Daily Data'!C24)/60</f>
        <v>7</v>
      </c>
      <c r="H25" s="21" t="n">
        <f aca="false">('Daily Data'!F24-'Daily Data'!E24)*D25</f>
        <v>-1.6572465</v>
      </c>
      <c r="I25" s="21" t="n">
        <f aca="false">(D25-E25)*'Daily Data'!E24</f>
        <v>5.453</v>
      </c>
      <c r="J25" s="21" t="n">
        <f aca="false">('Daily Data'!K24-'Daily Data'!I24)*F25</f>
        <v>-0.199739586666671</v>
      </c>
      <c r="K25" s="21" t="n">
        <f aca="false">(F25-G25)*'Daily Data'!I24</f>
        <v>-9.43739999999999</v>
      </c>
      <c r="L25" s="22" t="n">
        <f aca="false">H25+I25</f>
        <v>3.7957535</v>
      </c>
      <c r="M25" s="22" t="n">
        <f aca="false">J25+K25</f>
        <v>-9.63713958666666</v>
      </c>
      <c r="N25" s="22" t="n">
        <f aca="false">L25+M25</f>
        <v>-5.84138608666666</v>
      </c>
    </row>
    <row r="26" customFormat="false" ht="15" hidden="false" customHeight="false" outlineLevel="0" collapsed="false">
      <c r="A26" s="3" t="str">
        <f aca="false">'Daily Data'!A25</f>
        <v>Chicken Momos</v>
      </c>
      <c r="B26" s="3" t="n">
        <f aca="false">'Daily Data'!B25</f>
        <v>21</v>
      </c>
      <c r="C26" s="3" t="n">
        <f aca="false">'Daily Data'!C25</f>
        <v>70</v>
      </c>
      <c r="D26" s="20" t="n">
        <f aca="false">'Daily Data'!G25*'Daily Data'!C25</f>
        <v>25.69</v>
      </c>
      <c r="E26" s="20" t="n">
        <f aca="false">'Daily Data'!D25*'Daily Data'!C25</f>
        <v>24.5</v>
      </c>
      <c r="F26" s="20" t="n">
        <f aca="false">('Daily Data'!J25*'Daily Data'!C25)/60</f>
        <v>6.15965</v>
      </c>
      <c r="G26" s="20" t="n">
        <f aca="false">('Daily Data'!H25*'Daily Data'!C25)/60</f>
        <v>7</v>
      </c>
      <c r="H26" s="21" t="n">
        <f aca="false">('Daily Data'!F25-'Daily Data'!E25)*D26</f>
        <v>-1.92161199999999</v>
      </c>
      <c r="I26" s="21" t="n">
        <f aca="false">(D26-E26)*'Daily Data'!E25</f>
        <v>4.52199999999999</v>
      </c>
      <c r="J26" s="21" t="n">
        <f aca="false">('Daily Data'!K25-'Daily Data'!I25)*F26</f>
        <v>-0.134280370000004</v>
      </c>
      <c r="K26" s="21" t="n">
        <f aca="false">(F26-G26)*'Daily Data'!I25</f>
        <v>-11.344725</v>
      </c>
      <c r="L26" s="22" t="n">
        <f aca="false">H26+I26</f>
        <v>2.600388</v>
      </c>
      <c r="M26" s="22" t="n">
        <f aca="false">J26+K26</f>
        <v>-11.47900537</v>
      </c>
      <c r="N26" s="22" t="n">
        <f aca="false">L26+M26</f>
        <v>-8.87861737</v>
      </c>
    </row>
    <row r="27" customFormat="false" ht="15" hidden="false" customHeight="false" outlineLevel="0" collapsed="false">
      <c r="A27" s="3" t="str">
        <f aca="false">'Daily Data'!A26</f>
        <v>Chicken Momos</v>
      </c>
      <c r="B27" s="3" t="n">
        <f aca="false">'Daily Data'!B26</f>
        <v>22</v>
      </c>
      <c r="C27" s="3" t="n">
        <f aca="false">'Daily Data'!C26</f>
        <v>89</v>
      </c>
      <c r="D27" s="20" t="n">
        <f aca="false">'Daily Data'!G26*'Daily Data'!C26</f>
        <v>33.0457</v>
      </c>
      <c r="E27" s="20" t="n">
        <f aca="false">'Daily Data'!D26*'Daily Data'!C26</f>
        <v>31.15</v>
      </c>
      <c r="F27" s="20" t="n">
        <f aca="false">('Daily Data'!J26*'Daily Data'!C26)/60</f>
        <v>8.06725666666667</v>
      </c>
      <c r="G27" s="20" t="n">
        <f aca="false">('Daily Data'!H26*'Daily Data'!C26)/60</f>
        <v>8.9</v>
      </c>
      <c r="H27" s="21" t="n">
        <f aca="false">('Daily Data'!F26-'Daily Data'!E26)*D27</f>
        <v>-1.31191429</v>
      </c>
      <c r="I27" s="21" t="n">
        <f aca="false">(D27-E27)*'Daily Data'!E26</f>
        <v>7.20366000000002</v>
      </c>
      <c r="J27" s="21" t="n">
        <f aca="false">('Daily Data'!K26-'Daily Data'!I26)*F27</f>
        <v>-0.0814792923333297</v>
      </c>
      <c r="K27" s="21" t="n">
        <f aca="false">(F27-G27)*'Daily Data'!I26</f>
        <v>-11.242035</v>
      </c>
      <c r="L27" s="22" t="n">
        <f aca="false">H27+I27</f>
        <v>5.89174571000002</v>
      </c>
      <c r="M27" s="22" t="n">
        <f aca="false">J27+K27</f>
        <v>-11.3235142923333</v>
      </c>
      <c r="N27" s="22" t="n">
        <f aca="false">L27+M27</f>
        <v>-5.4317685823333</v>
      </c>
    </row>
    <row r="28" customFormat="false" ht="15" hidden="false" customHeight="false" outlineLevel="0" collapsed="false">
      <c r="A28" s="3" t="str">
        <f aca="false">'Daily Data'!A27</f>
        <v>Chicken Momos</v>
      </c>
      <c r="B28" s="3" t="n">
        <f aca="false">'Daily Data'!B27</f>
        <v>23</v>
      </c>
      <c r="C28" s="3" t="n">
        <f aca="false">'Daily Data'!C27</f>
        <v>65</v>
      </c>
      <c r="D28" s="20" t="n">
        <f aca="false">'Daily Data'!G27*'Daily Data'!C27</f>
        <v>24.128</v>
      </c>
      <c r="E28" s="20" t="n">
        <f aca="false">'Daily Data'!D27*'Daily Data'!C27</f>
        <v>22.75</v>
      </c>
      <c r="F28" s="20" t="n">
        <f aca="false">('Daily Data'!J27*'Daily Data'!C27)/60</f>
        <v>6.25029166666667</v>
      </c>
      <c r="G28" s="20" t="n">
        <f aca="false">('Daily Data'!H27*'Daily Data'!C27)/60</f>
        <v>6.5</v>
      </c>
      <c r="H28" s="21" t="n">
        <f aca="false">('Daily Data'!F27-'Daily Data'!E27)*D28</f>
        <v>-1.6600064</v>
      </c>
      <c r="I28" s="21" t="n">
        <f aca="false">(D28-E28)*'Daily Data'!E27</f>
        <v>5.2364</v>
      </c>
      <c r="J28" s="21" t="n">
        <f aca="false">('Daily Data'!K27-'Daily Data'!I27)*F28</f>
        <v>-0.162507583333332</v>
      </c>
      <c r="K28" s="21" t="n">
        <f aca="false">(F28-G28)*'Daily Data'!I27</f>
        <v>-3.3710625</v>
      </c>
      <c r="L28" s="22" t="n">
        <f aca="false">H28+I28</f>
        <v>3.5763936</v>
      </c>
      <c r="M28" s="22" t="n">
        <f aca="false">J28+K28</f>
        <v>-3.53357008333333</v>
      </c>
      <c r="N28" s="22" t="n">
        <f aca="false">L28+M28</f>
        <v>0.042823516666668</v>
      </c>
    </row>
    <row r="29" customFormat="false" ht="15" hidden="false" customHeight="false" outlineLevel="0" collapsed="false">
      <c r="A29" s="3" t="str">
        <f aca="false">'Daily Data'!A28</f>
        <v>Chicken Momos</v>
      </c>
      <c r="B29" s="3" t="n">
        <f aca="false">'Daily Data'!B28</f>
        <v>24</v>
      </c>
      <c r="C29" s="3" t="n">
        <f aca="false">'Daily Data'!C28</f>
        <v>88</v>
      </c>
      <c r="D29" s="20" t="n">
        <f aca="false">'Daily Data'!G28*'Daily Data'!C28</f>
        <v>31.9616</v>
      </c>
      <c r="E29" s="20" t="n">
        <f aca="false">'Daily Data'!D28*'Daily Data'!C28</f>
        <v>30.8</v>
      </c>
      <c r="F29" s="20" t="n">
        <f aca="false">('Daily Data'!J28*'Daily Data'!C28)/60</f>
        <v>6.94569333333333</v>
      </c>
      <c r="G29" s="20" t="n">
        <f aca="false">('Daily Data'!H28*'Daily Data'!C28)/60</f>
        <v>8.8</v>
      </c>
      <c r="H29" s="21" t="n">
        <f aca="false">('Daily Data'!F28-'Daily Data'!E28)*D29</f>
        <v>-5.78185344</v>
      </c>
      <c r="I29" s="21" t="n">
        <f aca="false">(D29-E29)*'Daily Data'!E28</f>
        <v>4.41408000000001</v>
      </c>
      <c r="J29" s="21" t="n">
        <f aca="false">('Daily Data'!K28-'Daily Data'!I28)*F29</f>
        <v>0.704987873333331</v>
      </c>
      <c r="K29" s="21" t="n">
        <f aca="false">(F29-G29)*'Daily Data'!I28</f>
        <v>-25.03314</v>
      </c>
      <c r="L29" s="22" t="n">
        <f aca="false">H29+I29</f>
        <v>-1.36777343999998</v>
      </c>
      <c r="M29" s="22" t="n">
        <f aca="false">J29+K29</f>
        <v>-24.3281521266667</v>
      </c>
      <c r="N29" s="22" t="n">
        <f aca="false">L29+M29</f>
        <v>-25.6959255666667</v>
      </c>
    </row>
    <row r="30" customFormat="false" ht="15" hidden="false" customHeight="false" outlineLevel="0" collapsed="false">
      <c r="A30" s="3" t="str">
        <f aca="false">'Daily Data'!A29</f>
        <v>Chicken Momos</v>
      </c>
      <c r="B30" s="3" t="n">
        <f aca="false">'Daily Data'!B29</f>
        <v>25</v>
      </c>
      <c r="C30" s="3" t="n">
        <f aca="false">'Daily Data'!C29</f>
        <v>93</v>
      </c>
      <c r="D30" s="20" t="n">
        <f aca="false">'Daily Data'!G29*'Daily Data'!C29</f>
        <v>35.5167</v>
      </c>
      <c r="E30" s="20" t="n">
        <f aca="false">'Daily Data'!D29*'Daily Data'!C29</f>
        <v>32.55</v>
      </c>
      <c r="F30" s="20" t="n">
        <f aca="false">('Daily Data'!J29*'Daily Data'!C29)/60</f>
        <v>6.837515</v>
      </c>
      <c r="G30" s="20" t="n">
        <f aca="false">('Daily Data'!H29*'Daily Data'!C29)/60</f>
        <v>9.3</v>
      </c>
      <c r="H30" s="21" t="n">
        <f aca="false">('Daily Data'!F29-'Daily Data'!E29)*D30</f>
        <v>-6.88313646</v>
      </c>
      <c r="I30" s="21" t="n">
        <f aca="false">(D30-E30)*'Daily Data'!E29</f>
        <v>11.27346</v>
      </c>
      <c r="J30" s="21" t="n">
        <f aca="false">('Daily Data'!K29-'Daily Data'!I29)*F30</f>
        <v>0.541531188000001</v>
      </c>
      <c r="K30" s="21" t="n">
        <f aca="false">(F30-G30)*'Daily Data'!I29</f>
        <v>-33.2435475</v>
      </c>
      <c r="L30" s="22" t="n">
        <f aca="false">H30+I30</f>
        <v>4.39032354000001</v>
      </c>
      <c r="M30" s="22" t="n">
        <f aca="false">J30+K30</f>
        <v>-32.702016312</v>
      </c>
      <c r="N30" s="22" t="n">
        <f aca="false">L30+M30</f>
        <v>-28.311692772</v>
      </c>
    </row>
    <row r="31" customFormat="false" ht="15" hidden="false" customHeight="false" outlineLevel="0" collapsed="false">
      <c r="A31" s="3" t="str">
        <f aca="false">'Daily Data'!A30</f>
        <v>Chicken Momos</v>
      </c>
      <c r="B31" s="3" t="n">
        <f aca="false">'Daily Data'!B30</f>
        <v>26</v>
      </c>
      <c r="C31" s="3" t="n">
        <f aca="false">'Daily Data'!C30</f>
        <v>107</v>
      </c>
      <c r="D31" s="20" t="n">
        <f aca="false">'Daily Data'!G30*'Daily Data'!C30</f>
        <v>39.4616</v>
      </c>
      <c r="E31" s="20" t="n">
        <f aca="false">'Daily Data'!D30*'Daily Data'!C30</f>
        <v>37.45</v>
      </c>
      <c r="F31" s="20" t="n">
        <f aca="false">('Daily Data'!J30*'Daily Data'!C30)/60</f>
        <v>8.20814833333333</v>
      </c>
      <c r="G31" s="20" t="n">
        <f aca="false">('Daily Data'!H30*'Daily Data'!C30)/60</f>
        <v>10.7</v>
      </c>
      <c r="H31" s="21" t="n">
        <f aca="false">('Daily Data'!F30-'Daily Data'!E30)*D31</f>
        <v>-7.695012</v>
      </c>
      <c r="I31" s="21" t="n">
        <f aca="false">(D31-E31)*'Daily Data'!E30</f>
        <v>7.64408000000003</v>
      </c>
      <c r="J31" s="21" t="n">
        <f aca="false">('Daily Data'!K30-'Daily Data'!I30)*F31</f>
        <v>-0.558154086666663</v>
      </c>
      <c r="K31" s="21" t="n">
        <f aca="false">(F31-G31)*'Daily Data'!I30</f>
        <v>-33.6399975</v>
      </c>
      <c r="L31" s="22" t="n">
        <f aca="false">H31+I31</f>
        <v>-0.0509319999999631</v>
      </c>
      <c r="M31" s="22" t="n">
        <f aca="false">J31+K31</f>
        <v>-34.1981515866667</v>
      </c>
      <c r="N31" s="22" t="n">
        <f aca="false">L31+M31</f>
        <v>-34.2490835866666</v>
      </c>
    </row>
    <row r="32" customFormat="false" ht="15" hidden="false" customHeight="false" outlineLevel="0" collapsed="false">
      <c r="A32" s="3" t="str">
        <f aca="false">'Daily Data'!A31</f>
        <v>Veg Thukpa</v>
      </c>
      <c r="B32" s="3" t="n">
        <f aca="false">'Daily Data'!B31</f>
        <v>1</v>
      </c>
      <c r="C32" s="3" t="n">
        <f aca="false">'Daily Data'!C31</f>
        <v>32</v>
      </c>
      <c r="D32" s="20" t="n">
        <f aca="false">'Daily Data'!G31*'Daily Data'!C31</f>
        <v>19.1168</v>
      </c>
      <c r="E32" s="20" t="n">
        <f aca="false">'Daily Data'!D31*'Daily Data'!C31</f>
        <v>19.2</v>
      </c>
      <c r="F32" s="20" t="n">
        <f aca="false">('Daily Data'!J31*'Daily Data'!C31)/60</f>
        <v>4.41824</v>
      </c>
      <c r="G32" s="20" t="n">
        <f aca="false">('Daily Data'!H31*'Daily Data'!C31)/60</f>
        <v>4.26666666666667</v>
      </c>
      <c r="H32" s="21" t="n">
        <f aca="false">('Daily Data'!F31-'Daily Data'!E31)*D32</f>
        <v>-0.711144959999998</v>
      </c>
      <c r="I32" s="21" t="n">
        <f aca="false">(D32-E32)*'Daily Data'!E31</f>
        <v>-0.174719999999996</v>
      </c>
      <c r="J32" s="21" t="n">
        <f aca="false">('Daily Data'!K31-'Daily Data'!I31)*F32</f>
        <v>-0.548303584000002</v>
      </c>
      <c r="K32" s="21" t="n">
        <f aca="false">(F32-G32)*'Daily Data'!I31</f>
        <v>2.04624</v>
      </c>
      <c r="L32" s="22" t="n">
        <f aca="false">H32+I32</f>
        <v>-0.885864959999994</v>
      </c>
      <c r="M32" s="22" t="n">
        <f aca="false">J32+K32</f>
        <v>1.497936416</v>
      </c>
      <c r="N32" s="22" t="n">
        <f aca="false">L32+M32</f>
        <v>0.612071456000005</v>
      </c>
    </row>
    <row r="33" customFormat="false" ht="15" hidden="false" customHeight="false" outlineLevel="0" collapsed="false">
      <c r="A33" s="3" t="str">
        <f aca="false">'Daily Data'!A32</f>
        <v>Veg Thukpa</v>
      </c>
      <c r="B33" s="3" t="n">
        <f aca="false">'Daily Data'!B32</f>
        <v>2</v>
      </c>
      <c r="C33" s="3" t="n">
        <f aca="false">'Daily Data'!C32</f>
        <v>47</v>
      </c>
      <c r="D33" s="20" t="n">
        <f aca="false">'Daily Data'!G32*'Daily Data'!C32</f>
        <v>28.5478</v>
      </c>
      <c r="E33" s="20" t="n">
        <f aca="false">'Daily Data'!D32*'Daily Data'!C32</f>
        <v>28.2</v>
      </c>
      <c r="F33" s="20" t="n">
        <f aca="false">('Daily Data'!J32*'Daily Data'!C32)/60</f>
        <v>6.64901166666667</v>
      </c>
      <c r="G33" s="20" t="n">
        <f aca="false">('Daily Data'!H32*'Daily Data'!C32)/60</f>
        <v>6.26666666666667</v>
      </c>
      <c r="H33" s="21" t="n">
        <f aca="false">('Daily Data'!F32-'Daily Data'!E32)*D33</f>
        <v>-1.26752232</v>
      </c>
      <c r="I33" s="21" t="n">
        <f aca="false">(D33-E33)*'Daily Data'!E32</f>
        <v>0.730380000000006</v>
      </c>
      <c r="J33" s="21" t="n">
        <f aca="false">('Daily Data'!K32-'Daily Data'!I32)*F33</f>
        <v>-1.105065739</v>
      </c>
      <c r="K33" s="21" t="n">
        <f aca="false">(F33-G33)*'Daily Data'!I32</f>
        <v>5.1616575</v>
      </c>
      <c r="L33" s="22" t="n">
        <f aca="false">H33+I33</f>
        <v>-0.537142319999994</v>
      </c>
      <c r="M33" s="22" t="n">
        <f aca="false">J33+K33</f>
        <v>4.056591761</v>
      </c>
      <c r="N33" s="22" t="n">
        <f aca="false">L33+M33</f>
        <v>3.51944944100001</v>
      </c>
    </row>
    <row r="34" customFormat="false" ht="15" hidden="false" customHeight="false" outlineLevel="0" collapsed="false">
      <c r="A34" s="3" t="str">
        <f aca="false">'Daily Data'!A33</f>
        <v>Veg Thukpa</v>
      </c>
      <c r="B34" s="3" t="n">
        <f aca="false">'Daily Data'!B33</f>
        <v>3</v>
      </c>
      <c r="C34" s="3" t="n">
        <f aca="false">'Daily Data'!C33</f>
        <v>41</v>
      </c>
      <c r="D34" s="20" t="n">
        <f aca="false">'Daily Data'!G33*'Daily Data'!C33</f>
        <v>24.3212</v>
      </c>
      <c r="E34" s="20" t="n">
        <f aca="false">'Daily Data'!D33*'Daily Data'!C33</f>
        <v>24.6</v>
      </c>
      <c r="F34" s="20" t="n">
        <f aca="false">('Daily Data'!J33*'Daily Data'!C33)/60</f>
        <v>5.54238</v>
      </c>
      <c r="G34" s="20" t="n">
        <f aca="false">('Daily Data'!H33*'Daily Data'!C33)/60</f>
        <v>5.46666666666667</v>
      </c>
      <c r="H34" s="21" t="n">
        <f aca="false">('Daily Data'!F33-'Daily Data'!E33)*D34</f>
        <v>-0.651808160000004</v>
      </c>
      <c r="I34" s="21" t="n">
        <f aca="false">(D34-E34)*'Daily Data'!E33</f>
        <v>-0.585480000000001</v>
      </c>
      <c r="J34" s="21" t="n">
        <f aca="false">('Daily Data'!K33-'Daily Data'!I33)*F34</f>
        <v>0.194537537999999</v>
      </c>
      <c r="K34" s="21" t="n">
        <f aca="false">(F34-G34)*'Daily Data'!I33</f>
        <v>1.02212999999999</v>
      </c>
      <c r="L34" s="22" t="n">
        <f aca="false">H34+I34</f>
        <v>-1.23728816</v>
      </c>
      <c r="M34" s="22" t="n">
        <f aca="false">J34+K34</f>
        <v>1.21666753799999</v>
      </c>
      <c r="N34" s="22" t="n">
        <f aca="false">L34+M34</f>
        <v>-0.0206206220000116</v>
      </c>
    </row>
    <row r="35" customFormat="false" ht="15" hidden="false" customHeight="false" outlineLevel="0" collapsed="false">
      <c r="A35" s="3" t="str">
        <f aca="false">'Daily Data'!A34</f>
        <v>Veg Thukpa</v>
      </c>
      <c r="B35" s="3" t="n">
        <f aca="false">'Daily Data'!B34</f>
        <v>4</v>
      </c>
      <c r="C35" s="3" t="n">
        <f aca="false">'Daily Data'!C34</f>
        <v>43</v>
      </c>
      <c r="D35" s="20" t="n">
        <f aca="false">'Daily Data'!G34*'Daily Data'!C34</f>
        <v>25.7054</v>
      </c>
      <c r="E35" s="20" t="n">
        <f aca="false">'Daily Data'!D34*'Daily Data'!C34</f>
        <v>25.8</v>
      </c>
      <c r="F35" s="20" t="n">
        <f aca="false">('Daily Data'!J34*'Daily Data'!C34)/60</f>
        <v>5.95779333333333</v>
      </c>
      <c r="G35" s="20" t="n">
        <f aca="false">('Daily Data'!H34*'Daily Data'!C34)/60</f>
        <v>5.73333333333333</v>
      </c>
      <c r="H35" s="21" t="n">
        <f aca="false">('Daily Data'!F34-'Daily Data'!E34)*D35</f>
        <v>-1.23900028</v>
      </c>
      <c r="I35" s="21" t="n">
        <f aca="false">(D35-E35)*'Daily Data'!E34</f>
        <v>-0.19866</v>
      </c>
      <c r="J35" s="21" t="n">
        <f aca="false">('Daily Data'!K34-'Daily Data'!I34)*F35</f>
        <v>0.238907512666671</v>
      </c>
      <c r="K35" s="21" t="n">
        <f aca="false">(F35-G35)*'Daily Data'!I34</f>
        <v>3.03021</v>
      </c>
      <c r="L35" s="22" t="n">
        <f aca="false">H35+I35</f>
        <v>-1.43766028</v>
      </c>
      <c r="M35" s="22" t="n">
        <f aca="false">J35+K35</f>
        <v>3.26911751266667</v>
      </c>
      <c r="N35" s="22" t="n">
        <f aca="false">L35+M35</f>
        <v>1.83145723266667</v>
      </c>
    </row>
    <row r="36" customFormat="false" ht="15" hidden="false" customHeight="false" outlineLevel="0" collapsed="false">
      <c r="A36" s="3" t="str">
        <f aca="false">'Daily Data'!A35</f>
        <v>Veg Thukpa</v>
      </c>
      <c r="B36" s="3" t="n">
        <f aca="false">'Daily Data'!B35</f>
        <v>5</v>
      </c>
      <c r="C36" s="3" t="n">
        <f aca="false">'Daily Data'!C35</f>
        <v>41</v>
      </c>
      <c r="D36" s="20" t="n">
        <f aca="false">'Daily Data'!G35*'Daily Data'!C35</f>
        <v>24.8706</v>
      </c>
      <c r="E36" s="20" t="n">
        <f aca="false">'Daily Data'!D35*'Daily Data'!C35</f>
        <v>24.6</v>
      </c>
      <c r="F36" s="20" t="n">
        <f aca="false">('Daily Data'!J35*'Daily Data'!C35)/60</f>
        <v>5.56192333333333</v>
      </c>
      <c r="G36" s="20" t="n">
        <f aca="false">('Daily Data'!H35*'Daily Data'!C35)/60</f>
        <v>5.46666666666667</v>
      </c>
      <c r="H36" s="21" t="n">
        <f aca="false">('Daily Data'!F35-'Daily Data'!E35)*D36</f>
        <v>-0.867983939999998</v>
      </c>
      <c r="I36" s="21" t="n">
        <f aca="false">(D36-E36)*'Daily Data'!E35</f>
        <v>0.568260000000004</v>
      </c>
      <c r="J36" s="21" t="n">
        <f aca="false">('Daily Data'!K35-'Daily Data'!I35)*F36</f>
        <v>0.220252164</v>
      </c>
      <c r="K36" s="21" t="n">
        <f aca="false">(F36-G36)*'Daily Data'!I35</f>
        <v>1.285965</v>
      </c>
      <c r="L36" s="22" t="n">
        <f aca="false">H36+I36</f>
        <v>-0.299723939999995</v>
      </c>
      <c r="M36" s="22" t="n">
        <f aca="false">J36+K36</f>
        <v>1.506217164</v>
      </c>
      <c r="N36" s="22" t="n">
        <f aca="false">L36+M36</f>
        <v>1.20649322400001</v>
      </c>
    </row>
    <row r="37" customFormat="false" ht="15" hidden="false" customHeight="false" outlineLevel="0" collapsed="false">
      <c r="A37" s="3" t="str">
        <f aca="false">'Daily Data'!A36</f>
        <v>Veg Thukpa</v>
      </c>
      <c r="B37" s="3" t="n">
        <f aca="false">'Daily Data'!B36</f>
        <v>6</v>
      </c>
      <c r="C37" s="3" t="n">
        <f aca="false">'Daily Data'!C36</f>
        <v>36</v>
      </c>
      <c r="D37" s="20" t="n">
        <f aca="false">'Daily Data'!G36*'Daily Data'!C36</f>
        <v>22.3776</v>
      </c>
      <c r="E37" s="20" t="n">
        <f aca="false">'Daily Data'!D36*'Daily Data'!C36</f>
        <v>21.6</v>
      </c>
      <c r="F37" s="20" t="n">
        <f aca="false">('Daily Data'!J36*'Daily Data'!C36)/60</f>
        <v>4.37112</v>
      </c>
      <c r="G37" s="20" t="n">
        <f aca="false">('Daily Data'!H36*'Daily Data'!C36)/60</f>
        <v>4.8</v>
      </c>
      <c r="H37" s="21" t="n">
        <f aca="false">('Daily Data'!F36-'Daily Data'!E36)*D37</f>
        <v>-0.49454496</v>
      </c>
      <c r="I37" s="21" t="n">
        <f aca="false">(D37-E37)*'Daily Data'!E36</f>
        <v>1.63296000000001</v>
      </c>
      <c r="J37" s="21" t="n">
        <f aca="false">('Daily Data'!K36-'Daily Data'!I36)*F37</f>
        <v>0.387281231999998</v>
      </c>
      <c r="K37" s="21" t="n">
        <f aca="false">(F37-G37)*'Daily Data'!I36</f>
        <v>-5.78987999999999</v>
      </c>
      <c r="L37" s="22" t="n">
        <f aca="false">H37+I37</f>
        <v>1.13841504000001</v>
      </c>
      <c r="M37" s="22" t="n">
        <f aca="false">J37+K37</f>
        <v>-5.40259876799999</v>
      </c>
      <c r="N37" s="22" t="n">
        <f aca="false">L37+M37</f>
        <v>-4.26418372799999</v>
      </c>
    </row>
    <row r="38" customFormat="false" ht="15" hidden="false" customHeight="false" outlineLevel="0" collapsed="false">
      <c r="A38" s="3" t="str">
        <f aca="false">'Daily Data'!A37</f>
        <v>Veg Thukpa</v>
      </c>
      <c r="B38" s="3" t="n">
        <f aca="false">'Daily Data'!B37</f>
        <v>7</v>
      </c>
      <c r="C38" s="3" t="n">
        <f aca="false">'Daily Data'!C37</f>
        <v>35</v>
      </c>
      <c r="D38" s="20" t="n">
        <f aca="false">'Daily Data'!G37*'Daily Data'!C37</f>
        <v>22.085</v>
      </c>
      <c r="E38" s="20" t="n">
        <f aca="false">'Daily Data'!D37*'Daily Data'!C37</f>
        <v>21</v>
      </c>
      <c r="F38" s="20" t="n">
        <f aca="false">('Daily Data'!J37*'Daily Data'!C37)/60</f>
        <v>4.37943333333333</v>
      </c>
      <c r="G38" s="20" t="n">
        <f aca="false">('Daily Data'!H37*'Daily Data'!C37)/60</f>
        <v>4.66666666666667</v>
      </c>
      <c r="H38" s="21" t="n">
        <f aca="false">('Daily Data'!F37-'Daily Data'!E37)*D38</f>
        <v>-0.689052000000003</v>
      </c>
      <c r="I38" s="21" t="n">
        <f aca="false">(D38-E38)*'Daily Data'!E37</f>
        <v>2.2785</v>
      </c>
      <c r="J38" s="21" t="n">
        <f aca="false">('Daily Data'!K37-'Daily Data'!I37)*F38</f>
        <v>0.569764276666669</v>
      </c>
      <c r="K38" s="21" t="n">
        <f aca="false">(F38-G38)*'Daily Data'!I37</f>
        <v>-3.87765</v>
      </c>
      <c r="L38" s="22" t="n">
        <f aca="false">H38+I38</f>
        <v>1.589448</v>
      </c>
      <c r="M38" s="22" t="n">
        <f aca="false">J38+K38</f>
        <v>-3.30788572333333</v>
      </c>
      <c r="N38" s="22" t="n">
        <f aca="false">L38+M38</f>
        <v>-1.71843772333333</v>
      </c>
    </row>
    <row r="39" customFormat="false" ht="15" hidden="false" customHeight="false" outlineLevel="0" collapsed="false">
      <c r="A39" s="3" t="str">
        <f aca="false">'Daily Data'!A38</f>
        <v>Veg Thukpa</v>
      </c>
      <c r="B39" s="3" t="n">
        <f aca="false">'Daily Data'!B38</f>
        <v>8</v>
      </c>
      <c r="C39" s="3" t="n">
        <f aca="false">'Daily Data'!C38</f>
        <v>41</v>
      </c>
      <c r="D39" s="20" t="n">
        <f aca="false">'Daily Data'!G38*'Daily Data'!C38</f>
        <v>26.281</v>
      </c>
      <c r="E39" s="20" t="n">
        <f aca="false">'Daily Data'!D38*'Daily Data'!C38</f>
        <v>24.6</v>
      </c>
      <c r="F39" s="20" t="n">
        <f aca="false">('Daily Data'!J38*'Daily Data'!C38)/60</f>
        <v>5.36608</v>
      </c>
      <c r="G39" s="20" t="n">
        <f aca="false">('Daily Data'!H38*'Daily Data'!C38)/60</f>
        <v>5.46666666666667</v>
      </c>
      <c r="H39" s="21" t="n">
        <f aca="false">('Daily Data'!F38-'Daily Data'!E38)*D39</f>
        <v>-0.812082899999998</v>
      </c>
      <c r="I39" s="21" t="n">
        <f aca="false">(D39-E39)*'Daily Data'!E38</f>
        <v>3.5301</v>
      </c>
      <c r="J39" s="21" t="n">
        <f aca="false">('Daily Data'!K38-'Daily Data'!I38)*F39</f>
        <v>-0.546266944000004</v>
      </c>
      <c r="K39" s="21" t="n">
        <f aca="false">(F39-G39)*'Daily Data'!I38</f>
        <v>-1.35792</v>
      </c>
      <c r="L39" s="22" t="n">
        <f aca="false">H39+I39</f>
        <v>2.7180171</v>
      </c>
      <c r="M39" s="22" t="n">
        <f aca="false">J39+K39</f>
        <v>-1.904186944</v>
      </c>
      <c r="N39" s="22" t="n">
        <f aca="false">L39+M39</f>
        <v>0.813830156000001</v>
      </c>
    </row>
    <row r="40" customFormat="false" ht="15" hidden="false" customHeight="false" outlineLevel="0" collapsed="false">
      <c r="A40" s="3" t="str">
        <f aca="false">'Daily Data'!A39</f>
        <v>Veg Thukpa</v>
      </c>
      <c r="B40" s="3" t="n">
        <f aca="false">'Daily Data'!B39</f>
        <v>9</v>
      </c>
      <c r="C40" s="3" t="n">
        <f aca="false">'Daily Data'!C39</f>
        <v>35</v>
      </c>
      <c r="D40" s="20" t="n">
        <f aca="false">'Daily Data'!G39*'Daily Data'!C39</f>
        <v>21.6475</v>
      </c>
      <c r="E40" s="20" t="n">
        <f aca="false">'Daily Data'!D39*'Daily Data'!C39</f>
        <v>21</v>
      </c>
      <c r="F40" s="20" t="n">
        <f aca="false">('Daily Data'!J39*'Daily Data'!C39)/60</f>
        <v>4.786075</v>
      </c>
      <c r="G40" s="20" t="n">
        <f aca="false">('Daily Data'!H39*'Daily Data'!C39)/60</f>
        <v>4.66666666666667</v>
      </c>
      <c r="H40" s="21" t="n">
        <f aca="false">('Daily Data'!F39-'Daily Data'!E39)*D40</f>
        <v>-0.967643250000004</v>
      </c>
      <c r="I40" s="21" t="n">
        <f aca="false">(D40-E40)*'Daily Data'!E39</f>
        <v>1.35975</v>
      </c>
      <c r="J40" s="21" t="n">
        <f aca="false">('Daily Data'!K39-'Daily Data'!I39)*F40</f>
        <v>0.178999204999999</v>
      </c>
      <c r="K40" s="21" t="n">
        <f aca="false">(F40-G40)*'Daily Data'!I39</f>
        <v>1.6120125</v>
      </c>
      <c r="L40" s="22" t="n">
        <f aca="false">H40+I40</f>
        <v>0.392106749999998</v>
      </c>
      <c r="M40" s="22" t="n">
        <f aca="false">J40+K40</f>
        <v>1.791011705</v>
      </c>
      <c r="N40" s="22" t="n">
        <f aca="false">L40+M40</f>
        <v>2.183118455</v>
      </c>
    </row>
    <row r="41" customFormat="false" ht="15" hidden="false" customHeight="false" outlineLevel="0" collapsed="false">
      <c r="A41" s="3" t="str">
        <f aca="false">'Daily Data'!A40</f>
        <v>Veg Thukpa</v>
      </c>
      <c r="B41" s="3" t="n">
        <f aca="false">'Daily Data'!B40</f>
        <v>10</v>
      </c>
      <c r="C41" s="3" t="n">
        <f aca="false">'Daily Data'!C40</f>
        <v>43</v>
      </c>
      <c r="D41" s="20" t="n">
        <f aca="false">'Daily Data'!G40*'Daily Data'!C40</f>
        <v>27.434</v>
      </c>
      <c r="E41" s="20" t="n">
        <f aca="false">'Daily Data'!D40*'Daily Data'!C40</f>
        <v>25.8</v>
      </c>
      <c r="F41" s="20" t="n">
        <f aca="false">('Daily Data'!J40*'Daily Data'!C40)/60</f>
        <v>5.61952666666667</v>
      </c>
      <c r="G41" s="20" t="n">
        <f aca="false">('Daily Data'!H40*'Daily Data'!C40)/60</f>
        <v>5.73333333333333</v>
      </c>
      <c r="H41" s="21" t="n">
        <f aca="false">('Daily Data'!F40-'Daily Data'!E40)*D41</f>
        <v>-1.0342618</v>
      </c>
      <c r="I41" s="21" t="n">
        <f aca="false">(D41-E41)*'Daily Data'!E40</f>
        <v>3.4314</v>
      </c>
      <c r="J41" s="21" t="n">
        <f aca="false">('Daily Data'!K40-'Daily Data'!I40)*F41</f>
        <v>2.063490192</v>
      </c>
      <c r="K41" s="21" t="n">
        <f aca="false">(F41-G41)*'Daily Data'!I40</f>
        <v>-1.53638999999999</v>
      </c>
      <c r="L41" s="22" t="n">
        <f aca="false">H41+I41</f>
        <v>2.3971382</v>
      </c>
      <c r="M41" s="22" t="n">
        <f aca="false">J41+K41</f>
        <v>0.527100192000009</v>
      </c>
      <c r="N41" s="22" t="n">
        <f aca="false">L41+M41</f>
        <v>2.92423839200001</v>
      </c>
    </row>
    <row r="42" customFormat="false" ht="15" hidden="false" customHeight="false" outlineLevel="0" collapsed="false">
      <c r="A42" s="3" t="str">
        <f aca="false">'Daily Data'!A41</f>
        <v>Veg Thukpa</v>
      </c>
      <c r="B42" s="3" t="n">
        <f aca="false">'Daily Data'!B41</f>
        <v>11</v>
      </c>
      <c r="C42" s="3" t="n">
        <f aca="false">'Daily Data'!C41</f>
        <v>43</v>
      </c>
      <c r="D42" s="20" t="n">
        <f aca="false">'Daily Data'!G41*'Daily Data'!C41</f>
        <v>26.1784</v>
      </c>
      <c r="E42" s="20" t="n">
        <f aca="false">'Daily Data'!D41*'Daily Data'!C41</f>
        <v>25.8</v>
      </c>
      <c r="F42" s="20" t="n">
        <f aca="false">('Daily Data'!J41*'Daily Data'!C41)/60</f>
        <v>5.94080833333333</v>
      </c>
      <c r="G42" s="20" t="n">
        <f aca="false">('Daily Data'!H41*'Daily Data'!C41)/60</f>
        <v>5.73333333333333</v>
      </c>
      <c r="H42" s="21" t="n">
        <f aca="false">('Daily Data'!F41-'Daily Data'!E41)*D42</f>
        <v>-1.178028</v>
      </c>
      <c r="I42" s="21" t="n">
        <f aca="false">(D42-E42)*'Daily Data'!E41</f>
        <v>0.794639999999998</v>
      </c>
      <c r="J42" s="21" t="n">
        <f aca="false">('Daily Data'!K41-'Daily Data'!I41)*F42</f>
        <v>-0.179412411666671</v>
      </c>
      <c r="K42" s="21" t="n">
        <f aca="false">(F42-G42)*'Daily Data'!I41</f>
        <v>2.80091250000001</v>
      </c>
      <c r="L42" s="22" t="n">
        <f aca="false">H42+I42</f>
        <v>-0.383388</v>
      </c>
      <c r="M42" s="22" t="n">
        <f aca="false">J42+K42</f>
        <v>2.62150008833334</v>
      </c>
      <c r="N42" s="22" t="n">
        <f aca="false">L42+M42</f>
        <v>2.23811208833334</v>
      </c>
    </row>
    <row r="43" customFormat="false" ht="15" hidden="false" customHeight="false" outlineLevel="0" collapsed="false">
      <c r="A43" s="3" t="str">
        <f aca="false">'Daily Data'!A42</f>
        <v>Veg Thukpa</v>
      </c>
      <c r="B43" s="3" t="n">
        <f aca="false">'Daily Data'!B42</f>
        <v>12</v>
      </c>
      <c r="C43" s="3" t="n">
        <f aca="false">'Daily Data'!C42</f>
        <v>43</v>
      </c>
      <c r="D43" s="20" t="n">
        <f aca="false">'Daily Data'!G42*'Daily Data'!C42</f>
        <v>26.746</v>
      </c>
      <c r="E43" s="20" t="n">
        <f aca="false">'Daily Data'!D42*'Daily Data'!C42</f>
        <v>25.8</v>
      </c>
      <c r="F43" s="20" t="n">
        <f aca="false">('Daily Data'!J42*'Daily Data'!C42)/60</f>
        <v>5.369195</v>
      </c>
      <c r="G43" s="20" t="n">
        <f aca="false">('Daily Data'!H42*'Daily Data'!C42)/60</f>
        <v>5.73333333333333</v>
      </c>
      <c r="H43" s="21" t="n">
        <f aca="false">('Daily Data'!F42-'Daily Data'!E42)*D43</f>
        <v>-0.904014800000007</v>
      </c>
      <c r="I43" s="21" t="n">
        <f aca="false">(D43-E43)*'Daily Data'!E42</f>
        <v>1.9866</v>
      </c>
      <c r="J43" s="21" t="n">
        <f aca="false">('Daily Data'!K42-'Daily Data'!I42)*F43</f>
        <v>-1.0980003775</v>
      </c>
      <c r="K43" s="21" t="n">
        <f aca="false">(F43-G43)*'Daily Data'!I42</f>
        <v>-4.9158675</v>
      </c>
      <c r="L43" s="22" t="n">
        <f aca="false">H43+I43</f>
        <v>1.08258519999999</v>
      </c>
      <c r="M43" s="22" t="n">
        <f aca="false">J43+K43</f>
        <v>-6.01386787749999</v>
      </c>
      <c r="N43" s="22" t="n">
        <f aca="false">L43+M43</f>
        <v>-4.9312826775</v>
      </c>
    </row>
    <row r="44" customFormat="false" ht="15" hidden="false" customHeight="false" outlineLevel="0" collapsed="false">
      <c r="A44" s="3" t="str">
        <f aca="false">'Daily Data'!A43</f>
        <v>Veg Thukpa</v>
      </c>
      <c r="B44" s="3" t="n">
        <f aca="false">'Daily Data'!B43</f>
        <v>13</v>
      </c>
      <c r="C44" s="3" t="n">
        <f aca="false">'Daily Data'!C43</f>
        <v>37</v>
      </c>
      <c r="D44" s="20" t="n">
        <f aca="false">'Daily Data'!G43*'Daily Data'!C43</f>
        <v>23.1842</v>
      </c>
      <c r="E44" s="20" t="n">
        <f aca="false">'Daily Data'!D43*'Daily Data'!C43</f>
        <v>22.2</v>
      </c>
      <c r="F44" s="20" t="n">
        <f aca="false">('Daily Data'!J43*'Daily Data'!C43)/60</f>
        <v>4.47243666666667</v>
      </c>
      <c r="G44" s="20" t="n">
        <f aca="false">('Daily Data'!H43*'Daily Data'!C43)/60</f>
        <v>4.93333333333333</v>
      </c>
      <c r="H44" s="21" t="n">
        <f aca="false">('Daily Data'!F43-'Daily Data'!E43)*D44</f>
        <v>-0.709436520000004</v>
      </c>
      <c r="I44" s="21" t="n">
        <f aca="false">(D44-E44)*'Daily Data'!E43</f>
        <v>2.06682</v>
      </c>
      <c r="J44" s="21" t="n">
        <f aca="false">('Daily Data'!K43-'Daily Data'!I43)*F44</f>
        <v>0.104655018000002</v>
      </c>
      <c r="K44" s="21" t="n">
        <f aca="false">(F44-G44)*'Daily Data'!I43</f>
        <v>-6.222105</v>
      </c>
      <c r="L44" s="22" t="n">
        <f aca="false">H44+I44</f>
        <v>1.35738348</v>
      </c>
      <c r="M44" s="22" t="n">
        <f aca="false">J44+K44</f>
        <v>-6.117449982</v>
      </c>
      <c r="N44" s="22" t="n">
        <f aca="false">L44+M44</f>
        <v>-4.760066502</v>
      </c>
    </row>
    <row r="45" customFormat="false" ht="15" hidden="false" customHeight="false" outlineLevel="0" collapsed="false">
      <c r="A45" s="3" t="str">
        <f aca="false">'Daily Data'!A44</f>
        <v>Veg Thukpa</v>
      </c>
      <c r="B45" s="3" t="n">
        <f aca="false">'Daily Data'!B44</f>
        <v>14</v>
      </c>
      <c r="C45" s="3" t="n">
        <f aca="false">'Daily Data'!C44</f>
        <v>41</v>
      </c>
      <c r="D45" s="20" t="n">
        <f aca="false">'Daily Data'!G44*'Daily Data'!C44</f>
        <v>25.707</v>
      </c>
      <c r="E45" s="20" t="n">
        <f aca="false">'Daily Data'!D44*'Daily Data'!C44</f>
        <v>24.6</v>
      </c>
      <c r="F45" s="20" t="n">
        <f aca="false">('Daily Data'!J44*'Daily Data'!C44)/60</f>
        <v>5.490515</v>
      </c>
      <c r="G45" s="20" t="n">
        <f aca="false">('Daily Data'!H44*'Daily Data'!C44)/60</f>
        <v>5.46666666666667</v>
      </c>
      <c r="H45" s="21" t="n">
        <f aca="false">('Daily Data'!F44-'Daily Data'!E44)*D45</f>
        <v>-1.1619564</v>
      </c>
      <c r="I45" s="21" t="n">
        <f aca="false">(D45-E45)*'Daily Data'!E44</f>
        <v>2.32470000000001</v>
      </c>
      <c r="J45" s="21" t="n">
        <f aca="false">('Daily Data'!K44-'Daily Data'!I44)*F45</f>
        <v>-0.847186464499996</v>
      </c>
      <c r="K45" s="21" t="n">
        <f aca="false">(F45-G45)*'Daily Data'!I44</f>
        <v>0.321952500000002</v>
      </c>
      <c r="L45" s="22" t="n">
        <f aca="false">H45+I45</f>
        <v>1.16274360000001</v>
      </c>
      <c r="M45" s="22" t="n">
        <f aca="false">J45+K45</f>
        <v>-0.525233964499994</v>
      </c>
      <c r="N45" s="22" t="n">
        <f aca="false">L45+M45</f>
        <v>0.637509635500015</v>
      </c>
    </row>
    <row r="46" customFormat="false" ht="15" hidden="false" customHeight="false" outlineLevel="0" collapsed="false">
      <c r="A46" s="3" t="str">
        <f aca="false">'Daily Data'!A45</f>
        <v>Veg Thukpa</v>
      </c>
      <c r="B46" s="3" t="n">
        <f aca="false">'Daily Data'!B45</f>
        <v>15</v>
      </c>
      <c r="C46" s="3" t="n">
        <f aca="false">'Daily Data'!C45</f>
        <v>41</v>
      </c>
      <c r="D46" s="20" t="n">
        <f aca="false">'Daily Data'!G45*'Daily Data'!C45</f>
        <v>26.2113</v>
      </c>
      <c r="E46" s="20" t="n">
        <f aca="false">'Daily Data'!D45*'Daily Data'!C45</f>
        <v>24.6</v>
      </c>
      <c r="F46" s="20" t="n">
        <f aca="false">('Daily Data'!J45*'Daily Data'!C45)/60</f>
        <v>5.89873833333333</v>
      </c>
      <c r="G46" s="20" t="n">
        <f aca="false">('Daily Data'!H45*'Daily Data'!C45)/60</f>
        <v>5.46666666666667</v>
      </c>
      <c r="H46" s="21" t="n">
        <f aca="false">('Daily Data'!F45-'Daily Data'!E45)*D46</f>
        <v>-0.867594030000003</v>
      </c>
      <c r="I46" s="21" t="n">
        <f aca="false">(D46-E46)*'Daily Data'!E45</f>
        <v>3.38373</v>
      </c>
      <c r="J46" s="21" t="n">
        <f aca="false">('Daily Data'!K45-'Daily Data'!I45)*F46</f>
        <v>-1.09716533</v>
      </c>
      <c r="K46" s="21" t="n">
        <f aca="false">(F46-G46)*'Daily Data'!I45</f>
        <v>5.8329675</v>
      </c>
      <c r="L46" s="22" t="n">
        <f aca="false">H46+I46</f>
        <v>2.51613597</v>
      </c>
      <c r="M46" s="22" t="n">
        <f aca="false">J46+K46</f>
        <v>4.73580217</v>
      </c>
      <c r="N46" s="22" t="n">
        <f aca="false">L46+M46</f>
        <v>7.25193814</v>
      </c>
    </row>
    <row r="47" customFormat="false" ht="15" hidden="false" customHeight="false" outlineLevel="0" collapsed="false">
      <c r="A47" s="3" t="str">
        <f aca="false">'Daily Data'!A46</f>
        <v>Veg Thukpa</v>
      </c>
      <c r="B47" s="3" t="n">
        <f aca="false">'Daily Data'!B46</f>
        <v>16</v>
      </c>
      <c r="C47" s="3" t="n">
        <f aca="false">'Daily Data'!C46</f>
        <v>35</v>
      </c>
      <c r="D47" s="20" t="n">
        <f aca="false">'Daily Data'!G46*'Daily Data'!C46</f>
        <v>22.176</v>
      </c>
      <c r="E47" s="20" t="n">
        <f aca="false">'Daily Data'!D46*'Daily Data'!C46</f>
        <v>21</v>
      </c>
      <c r="F47" s="20" t="n">
        <f aca="false">('Daily Data'!J46*'Daily Data'!C46)/60</f>
        <v>4.84691666666667</v>
      </c>
      <c r="G47" s="20" t="n">
        <f aca="false">('Daily Data'!H46*'Daily Data'!C46)/60</f>
        <v>4.66666666666667</v>
      </c>
      <c r="H47" s="21" t="n">
        <f aca="false">('Daily Data'!F46-'Daily Data'!E46)*D47</f>
        <v>-0.742896000000002</v>
      </c>
      <c r="I47" s="21" t="n">
        <f aca="false">(D47-E47)*'Daily Data'!E46</f>
        <v>2.4696</v>
      </c>
      <c r="J47" s="21" t="n">
        <f aca="false">('Daily Data'!K46-'Daily Data'!I46)*F47</f>
        <v>2.52088135833333</v>
      </c>
      <c r="K47" s="21" t="n">
        <f aca="false">(F47-G47)*'Daily Data'!I46</f>
        <v>2.433375</v>
      </c>
      <c r="L47" s="22" t="n">
        <f aca="false">H47+I47</f>
        <v>1.726704</v>
      </c>
      <c r="M47" s="22" t="n">
        <f aca="false">J47+K47</f>
        <v>4.95425635833333</v>
      </c>
      <c r="N47" s="22" t="n">
        <f aca="false">L47+M47</f>
        <v>6.68096035833333</v>
      </c>
    </row>
    <row r="48" customFormat="false" ht="15" hidden="false" customHeight="false" outlineLevel="0" collapsed="false">
      <c r="A48" s="3" t="str">
        <f aca="false">'Daily Data'!A47</f>
        <v>Veg Thukpa</v>
      </c>
      <c r="B48" s="3" t="n">
        <f aca="false">'Daily Data'!B47</f>
        <v>17</v>
      </c>
      <c r="C48" s="3" t="n">
        <f aca="false">'Daily Data'!C47</f>
        <v>42</v>
      </c>
      <c r="D48" s="20" t="n">
        <f aca="false">'Daily Data'!G47*'Daily Data'!C47</f>
        <v>26.8842</v>
      </c>
      <c r="E48" s="20" t="n">
        <f aca="false">'Daily Data'!D47*'Daily Data'!C47</f>
        <v>25.2</v>
      </c>
      <c r="F48" s="20" t="n">
        <f aca="false">('Daily Data'!J47*'Daily Data'!C47)/60</f>
        <v>5.87356</v>
      </c>
      <c r="G48" s="20" t="n">
        <f aca="false">('Daily Data'!H47*'Daily Data'!C47)/60</f>
        <v>5.6</v>
      </c>
      <c r="H48" s="21" t="n">
        <f aca="false">('Daily Data'!F47-'Daily Data'!E47)*D48</f>
        <v>-0.760822860000006</v>
      </c>
      <c r="I48" s="21" t="n">
        <f aca="false">(D48-E48)*'Daily Data'!E47</f>
        <v>3.53682</v>
      </c>
      <c r="J48" s="21" t="n">
        <f aca="false">('Daily Data'!K47-'Daily Data'!I47)*F48</f>
        <v>-0.250213656000001</v>
      </c>
      <c r="K48" s="21" t="n">
        <f aca="false">(F48-G48)*'Daily Data'!I47</f>
        <v>3.69306000000001</v>
      </c>
      <c r="L48" s="22" t="n">
        <f aca="false">H48+I48</f>
        <v>2.77599714</v>
      </c>
      <c r="M48" s="22" t="n">
        <f aca="false">J48+K48</f>
        <v>3.44284634400001</v>
      </c>
      <c r="N48" s="22" t="n">
        <f aca="false">L48+M48</f>
        <v>6.218843484</v>
      </c>
    </row>
    <row r="49" customFormat="false" ht="15" hidden="false" customHeight="false" outlineLevel="0" collapsed="false">
      <c r="A49" s="3" t="str">
        <f aca="false">'Daily Data'!A48</f>
        <v>Veg Thukpa</v>
      </c>
      <c r="B49" s="3" t="n">
        <f aca="false">'Daily Data'!B48</f>
        <v>18</v>
      </c>
      <c r="C49" s="3" t="n">
        <f aca="false">'Daily Data'!C48</f>
        <v>43</v>
      </c>
      <c r="D49" s="20" t="n">
        <f aca="false">'Daily Data'!G48*'Daily Data'!C48</f>
        <v>26.9567</v>
      </c>
      <c r="E49" s="20" t="n">
        <f aca="false">'Daily Data'!D48*'Daily Data'!C48</f>
        <v>25.8</v>
      </c>
      <c r="F49" s="20" t="n">
        <f aca="false">('Daily Data'!J48*'Daily Data'!C48)/60</f>
        <v>5.52464</v>
      </c>
      <c r="G49" s="20" t="n">
        <f aca="false">('Daily Data'!H48*'Daily Data'!C48)/60</f>
        <v>5.73333333333333</v>
      </c>
      <c r="H49" s="21" t="n">
        <f aca="false">('Daily Data'!F48-'Daily Data'!E48)*D49</f>
        <v>-1.19418181000001</v>
      </c>
      <c r="I49" s="21" t="n">
        <f aca="false">(D49-E49)*'Daily Data'!E48</f>
        <v>2.42907</v>
      </c>
      <c r="J49" s="21" t="n">
        <f aca="false">('Daily Data'!K48-'Daily Data'!I48)*F49</f>
        <v>0.0613235040000043</v>
      </c>
      <c r="K49" s="21" t="n">
        <f aca="false">(F49-G49)*'Daily Data'!I48</f>
        <v>-2.81735999999999</v>
      </c>
      <c r="L49" s="22" t="n">
        <f aca="false">H49+I49</f>
        <v>1.23488819</v>
      </c>
      <c r="M49" s="22" t="n">
        <f aca="false">J49+K49</f>
        <v>-2.75603649599999</v>
      </c>
      <c r="N49" s="22" t="n">
        <f aca="false">L49+M49</f>
        <v>-1.52114830599999</v>
      </c>
    </row>
    <row r="50" customFormat="false" ht="15" hidden="false" customHeight="false" outlineLevel="0" collapsed="false">
      <c r="A50" s="3" t="str">
        <f aca="false">'Daily Data'!A49</f>
        <v>Veg Thukpa</v>
      </c>
      <c r="B50" s="3" t="n">
        <f aca="false">'Daily Data'!B49</f>
        <v>19</v>
      </c>
      <c r="C50" s="3" t="n">
        <f aca="false">'Daily Data'!C49</f>
        <v>51</v>
      </c>
      <c r="D50" s="20" t="n">
        <f aca="false">'Daily Data'!G49*'Daily Data'!C49</f>
        <v>32.5992</v>
      </c>
      <c r="E50" s="20" t="n">
        <f aca="false">'Daily Data'!D49*'Daily Data'!C49</f>
        <v>30.6</v>
      </c>
      <c r="F50" s="20" t="n">
        <f aca="false">('Daily Data'!J49*'Daily Data'!C49)/60</f>
        <v>5.97754</v>
      </c>
      <c r="G50" s="20" t="n">
        <f aca="false">('Daily Data'!H49*'Daily Data'!C49)/60</f>
        <v>6.8</v>
      </c>
      <c r="H50" s="21" t="n">
        <f aca="false">('Daily Data'!F49-'Daily Data'!E49)*D50</f>
        <v>-1.7440572</v>
      </c>
      <c r="I50" s="21" t="n">
        <f aca="false">(D50-E50)*'Daily Data'!E49</f>
        <v>4.19832</v>
      </c>
      <c r="J50" s="21" t="n">
        <f aca="false">('Daily Data'!K49-'Daily Data'!I49)*F50</f>
        <v>-0.380769298000005</v>
      </c>
      <c r="K50" s="21" t="n">
        <f aca="false">(F50-G50)*'Daily Data'!I49</f>
        <v>-11.10321</v>
      </c>
      <c r="L50" s="22" t="n">
        <f aca="false">H50+I50</f>
        <v>2.45426279999999</v>
      </c>
      <c r="M50" s="22" t="n">
        <f aca="false">J50+K50</f>
        <v>-11.483979298</v>
      </c>
      <c r="N50" s="22" t="n">
        <f aca="false">L50+M50</f>
        <v>-9.029716498</v>
      </c>
    </row>
    <row r="51" customFormat="false" ht="15" hidden="false" customHeight="false" outlineLevel="0" collapsed="false">
      <c r="A51" s="3" t="str">
        <f aca="false">'Daily Data'!A50</f>
        <v>Veg Thukpa</v>
      </c>
      <c r="B51" s="3" t="n">
        <f aca="false">'Daily Data'!B50</f>
        <v>20</v>
      </c>
      <c r="C51" s="3" t="n">
        <f aca="false">'Daily Data'!C50</f>
        <v>45</v>
      </c>
      <c r="D51" s="20" t="n">
        <f aca="false">'Daily Data'!G50*'Daily Data'!C50</f>
        <v>27.8595</v>
      </c>
      <c r="E51" s="20" t="n">
        <f aca="false">'Daily Data'!D50*'Daily Data'!C50</f>
        <v>27</v>
      </c>
      <c r="F51" s="20" t="n">
        <f aca="false">('Daily Data'!J50*'Daily Data'!C50)/60</f>
        <v>5.6781</v>
      </c>
      <c r="G51" s="20" t="n">
        <f aca="false">('Daily Data'!H50*'Daily Data'!C50)/60</f>
        <v>6</v>
      </c>
      <c r="H51" s="21" t="n">
        <f aca="false">('Daily Data'!F50-'Daily Data'!E50)*D51</f>
        <v>-1.03915935</v>
      </c>
      <c r="I51" s="21" t="n">
        <f aca="false">(D51-E51)*'Daily Data'!E50</f>
        <v>1.80495</v>
      </c>
      <c r="J51" s="21" t="n">
        <f aca="false">('Daily Data'!K50-'Daily Data'!I50)*F51</f>
        <v>0.520681769999997</v>
      </c>
      <c r="K51" s="21" t="n">
        <f aca="false">(F51-G51)*'Daily Data'!I50</f>
        <v>-4.34564999999999</v>
      </c>
      <c r="L51" s="22" t="n">
        <f aca="false">H51+I51</f>
        <v>0.765790649999998</v>
      </c>
      <c r="M51" s="22" t="n">
        <f aca="false">J51+K51</f>
        <v>-3.82496823</v>
      </c>
      <c r="N51" s="22" t="n">
        <f aca="false">L51+M51</f>
        <v>-3.05917758</v>
      </c>
    </row>
    <row r="52" customFormat="false" ht="15" hidden="false" customHeight="false" outlineLevel="0" collapsed="false">
      <c r="A52" s="3" t="str">
        <f aca="false">'Daily Data'!A51</f>
        <v>Veg Thukpa</v>
      </c>
      <c r="B52" s="3" t="n">
        <f aca="false">'Daily Data'!B51</f>
        <v>21</v>
      </c>
      <c r="C52" s="3" t="n">
        <f aca="false">'Daily Data'!C51</f>
        <v>36</v>
      </c>
      <c r="D52" s="20" t="n">
        <f aca="false">'Daily Data'!G51*'Daily Data'!C51</f>
        <v>22.8168</v>
      </c>
      <c r="E52" s="20" t="n">
        <f aca="false">'Daily Data'!D51*'Daily Data'!C51</f>
        <v>21.6</v>
      </c>
      <c r="F52" s="20" t="n">
        <f aca="false">('Daily Data'!J51*'Daily Data'!C51)/60</f>
        <v>4.5654</v>
      </c>
      <c r="G52" s="20" t="n">
        <f aca="false">('Daily Data'!H51*'Daily Data'!C51)/60</f>
        <v>4.8</v>
      </c>
      <c r="H52" s="21" t="n">
        <f aca="false">('Daily Data'!F51-'Daily Data'!E51)*D52</f>
        <v>-0.821404800000001</v>
      </c>
      <c r="I52" s="21" t="n">
        <f aca="false">(D52-E52)*'Daily Data'!E51</f>
        <v>2.55528000000001</v>
      </c>
      <c r="J52" s="21" t="n">
        <f aca="false">('Daily Data'!K51-'Daily Data'!I51)*F52</f>
        <v>1.32122676</v>
      </c>
      <c r="K52" s="21" t="n">
        <f aca="false">(F52-G52)*'Daily Data'!I51</f>
        <v>-3.16710000000001</v>
      </c>
      <c r="L52" s="22" t="n">
        <f aca="false">H52+I52</f>
        <v>1.73387520000001</v>
      </c>
      <c r="M52" s="22" t="n">
        <f aca="false">J52+K52</f>
        <v>-1.84587324</v>
      </c>
      <c r="N52" s="22" t="n">
        <f aca="false">L52+M52</f>
        <v>-0.111998039999997</v>
      </c>
    </row>
    <row r="53" customFormat="false" ht="15" hidden="false" customHeight="false" outlineLevel="0" collapsed="false">
      <c r="A53" s="3" t="str">
        <f aca="false">'Daily Data'!A52</f>
        <v>Veg Thukpa</v>
      </c>
      <c r="B53" s="3" t="n">
        <f aca="false">'Daily Data'!B52</f>
        <v>22</v>
      </c>
      <c r="C53" s="3" t="n">
        <f aca="false">'Daily Data'!C52</f>
        <v>43</v>
      </c>
      <c r="D53" s="20" t="n">
        <f aca="false">'Daily Data'!G52*'Daily Data'!C52</f>
        <v>27.3738</v>
      </c>
      <c r="E53" s="20" t="n">
        <f aca="false">'Daily Data'!D52*'Daily Data'!C52</f>
        <v>25.8</v>
      </c>
      <c r="F53" s="20" t="n">
        <f aca="false">('Daily Data'!J52*'Daily Data'!C52)/60</f>
        <v>5.448745</v>
      </c>
      <c r="G53" s="20" t="n">
        <f aca="false">('Daily Data'!H52*'Daily Data'!C52)/60</f>
        <v>5.73333333333333</v>
      </c>
      <c r="H53" s="21" t="n">
        <f aca="false">('Daily Data'!F52-'Daily Data'!E52)*D53</f>
        <v>-1.50008424000001</v>
      </c>
      <c r="I53" s="21" t="n">
        <f aca="false">(D53-E53)*'Daily Data'!E52</f>
        <v>3.30498</v>
      </c>
      <c r="J53" s="21" t="n">
        <f aca="false">('Daily Data'!K52-'Daily Data'!I52)*F53</f>
        <v>0.6271505495</v>
      </c>
      <c r="K53" s="21" t="n">
        <f aca="false">(F53-G53)*'Daily Data'!I52</f>
        <v>-3.8419425</v>
      </c>
      <c r="L53" s="22" t="n">
        <f aca="false">H53+I53</f>
        <v>1.80489576</v>
      </c>
      <c r="M53" s="22" t="n">
        <f aca="false">J53+K53</f>
        <v>-3.21479195050001</v>
      </c>
      <c r="N53" s="22" t="n">
        <f aca="false">L53+M53</f>
        <v>-1.40989619050001</v>
      </c>
    </row>
    <row r="54" customFormat="false" ht="15" hidden="false" customHeight="false" outlineLevel="0" collapsed="false">
      <c r="A54" s="3" t="str">
        <f aca="false">'Daily Data'!A53</f>
        <v>Veg Thukpa</v>
      </c>
      <c r="B54" s="3" t="n">
        <f aca="false">'Daily Data'!B53</f>
        <v>23</v>
      </c>
      <c r="C54" s="3" t="n">
        <f aca="false">'Daily Data'!C53</f>
        <v>36</v>
      </c>
      <c r="D54" s="20" t="n">
        <f aca="false">'Daily Data'!G53*'Daily Data'!C53</f>
        <v>23.0976</v>
      </c>
      <c r="E54" s="20" t="n">
        <f aca="false">'Daily Data'!D53*'Daily Data'!C53</f>
        <v>21.6</v>
      </c>
      <c r="F54" s="20" t="n">
        <f aca="false">('Daily Data'!J53*'Daily Data'!C53)/60</f>
        <v>5.1117</v>
      </c>
      <c r="G54" s="20" t="n">
        <f aca="false">('Daily Data'!H53*'Daily Data'!C53)/60</f>
        <v>4.8</v>
      </c>
      <c r="H54" s="21" t="n">
        <f aca="false">('Daily Data'!F53-'Daily Data'!E53)*D54</f>
        <v>-0.896186880000004</v>
      </c>
      <c r="I54" s="21" t="n">
        <f aca="false">(D54-E54)*'Daily Data'!E53</f>
        <v>3.14496</v>
      </c>
      <c r="J54" s="21" t="n">
        <f aca="false">('Daily Data'!K53-'Daily Data'!I53)*F54</f>
        <v>-0.828095400000004</v>
      </c>
      <c r="K54" s="21" t="n">
        <f aca="false">(F54-G54)*'Daily Data'!I53</f>
        <v>4.20795</v>
      </c>
      <c r="L54" s="22" t="n">
        <f aca="false">H54+I54</f>
        <v>2.24877312</v>
      </c>
      <c r="M54" s="22" t="n">
        <f aca="false">J54+K54</f>
        <v>3.3798546</v>
      </c>
      <c r="N54" s="22" t="n">
        <f aca="false">L54+M54</f>
        <v>5.62862772</v>
      </c>
    </row>
    <row r="55" customFormat="false" ht="15" hidden="false" customHeight="false" outlineLevel="0" collapsed="false">
      <c r="A55" s="3" t="str">
        <f aca="false">'Daily Data'!A54</f>
        <v>Veg Thukpa</v>
      </c>
      <c r="B55" s="3" t="n">
        <f aca="false">'Daily Data'!B54</f>
        <v>24</v>
      </c>
      <c r="C55" s="3" t="n">
        <f aca="false">'Daily Data'!C54</f>
        <v>38</v>
      </c>
      <c r="D55" s="20" t="n">
        <f aca="false">'Daily Data'!G54*'Daily Data'!C54</f>
        <v>23.8982</v>
      </c>
      <c r="E55" s="20" t="n">
        <f aca="false">'Daily Data'!D54*'Daily Data'!C54</f>
        <v>22.8</v>
      </c>
      <c r="F55" s="20" t="n">
        <f aca="false">('Daily Data'!J54*'Daily Data'!C54)/60</f>
        <v>5.73755666666667</v>
      </c>
      <c r="G55" s="20" t="n">
        <f aca="false">('Daily Data'!H54*'Daily Data'!C54)/60</f>
        <v>5.06666666666667</v>
      </c>
      <c r="H55" s="21" t="n">
        <f aca="false">('Daily Data'!F54-'Daily Data'!E54)*D55</f>
        <v>-0.998944760000007</v>
      </c>
      <c r="I55" s="21" t="n">
        <f aca="false">(D55-E55)*'Daily Data'!E54</f>
        <v>2.30622</v>
      </c>
      <c r="J55" s="21" t="n">
        <f aca="false">('Daily Data'!K54-'Daily Data'!I54)*F55</f>
        <v>0.313844349666669</v>
      </c>
      <c r="K55" s="21" t="n">
        <f aca="false">(F55-G55)*'Daily Data'!I54</f>
        <v>9.057015</v>
      </c>
      <c r="L55" s="22" t="n">
        <f aca="false">H55+I55</f>
        <v>1.30727523999999</v>
      </c>
      <c r="M55" s="22" t="n">
        <f aca="false">J55+K55</f>
        <v>9.37085934966667</v>
      </c>
      <c r="N55" s="22" t="n">
        <f aca="false">L55+M55</f>
        <v>10.6781345896667</v>
      </c>
    </row>
    <row r="56" customFormat="false" ht="15" hidden="false" customHeight="false" outlineLevel="0" collapsed="false">
      <c r="A56" s="3" t="str">
        <f aca="false">'Daily Data'!A55</f>
        <v>Veg Thukpa</v>
      </c>
      <c r="B56" s="3" t="n">
        <f aca="false">'Daily Data'!B55</f>
        <v>25</v>
      </c>
      <c r="C56" s="3" t="n">
        <f aca="false">'Daily Data'!C55</f>
        <v>33</v>
      </c>
      <c r="D56" s="20" t="n">
        <f aca="false">'Daily Data'!G55*'Daily Data'!C55</f>
        <v>21.8889</v>
      </c>
      <c r="E56" s="20" t="n">
        <f aca="false">'Daily Data'!D55*'Daily Data'!C55</f>
        <v>19.8</v>
      </c>
      <c r="F56" s="20" t="n">
        <f aca="false">('Daily Data'!J55*'Daily Data'!C55)/60</f>
        <v>4.740725</v>
      </c>
      <c r="G56" s="20" t="n">
        <f aca="false">('Daily Data'!H55*'Daily Data'!C55)/60</f>
        <v>4.4</v>
      </c>
      <c r="H56" s="21" t="n">
        <f aca="false">('Daily Data'!F55-'Daily Data'!E55)*D56</f>
        <v>-0.65885589</v>
      </c>
      <c r="I56" s="21" t="n">
        <f aca="false">(D56-E56)*'Daily Data'!E55</f>
        <v>4.38669</v>
      </c>
      <c r="J56" s="21" t="n">
        <f aca="false">('Daily Data'!K55-'Daily Data'!I55)*F56</f>
        <v>-0.972322697499999</v>
      </c>
      <c r="K56" s="21" t="n">
        <f aca="false">(F56-G56)*'Daily Data'!I55</f>
        <v>4.5997875</v>
      </c>
      <c r="L56" s="22" t="n">
        <f aca="false">H56+I56</f>
        <v>3.72783411</v>
      </c>
      <c r="M56" s="22" t="n">
        <f aca="false">J56+K56</f>
        <v>3.6274648025</v>
      </c>
      <c r="N56" s="22" t="n">
        <f aca="false">L56+M56</f>
        <v>7.3552989125</v>
      </c>
    </row>
    <row r="57" customFormat="false" ht="15" hidden="false" customHeight="false" outlineLevel="0" collapsed="false">
      <c r="A57" s="3" t="str">
        <f aca="false">'Daily Data'!A56</f>
        <v>Veg Thukpa</v>
      </c>
      <c r="B57" s="3" t="n">
        <f aca="false">'Daily Data'!B56</f>
        <v>26</v>
      </c>
      <c r="C57" s="3" t="n">
        <f aca="false">'Daily Data'!C56</f>
        <v>37</v>
      </c>
      <c r="D57" s="20" t="n">
        <f aca="false">'Daily Data'!G56*'Daily Data'!C56</f>
        <v>23.3285</v>
      </c>
      <c r="E57" s="20" t="n">
        <f aca="false">'Daily Data'!D56*'Daily Data'!C56</f>
        <v>22.2</v>
      </c>
      <c r="F57" s="20" t="n">
        <f aca="false">('Daily Data'!J56*'Daily Data'!C56)/60</f>
        <v>5.09755166666667</v>
      </c>
      <c r="G57" s="20" t="n">
        <f aca="false">('Daily Data'!H56*'Daily Data'!C56)/60</f>
        <v>4.93333333333333</v>
      </c>
      <c r="H57" s="21" t="n">
        <f aca="false">('Daily Data'!F56-'Daily Data'!E56)*D57</f>
        <v>-0.634535200000003</v>
      </c>
      <c r="I57" s="21" t="n">
        <f aca="false">(D57-E57)*'Daily Data'!E56</f>
        <v>2.36985</v>
      </c>
      <c r="J57" s="21" t="n">
        <f aca="false">('Daily Data'!K56-'Daily Data'!I56)*F57</f>
        <v>0.533203904333331</v>
      </c>
      <c r="K57" s="21" t="n">
        <f aca="false">(F57-G57)*'Daily Data'!I56</f>
        <v>2.21694749999999</v>
      </c>
      <c r="L57" s="22" t="n">
        <f aca="false">H57+I57</f>
        <v>1.7353148</v>
      </c>
      <c r="M57" s="22" t="n">
        <f aca="false">J57+K57</f>
        <v>2.75015140433332</v>
      </c>
      <c r="N57" s="22" t="n">
        <f aca="false">L57+M57</f>
        <v>4.48546620433331</v>
      </c>
    </row>
    <row r="58" customFormat="false" ht="15" hidden="false" customHeight="false" outlineLevel="0" collapsed="false">
      <c r="A58" s="3" t="str">
        <f aca="false">'Daily Data'!A57</f>
        <v>Chow Mein (Chicken)</v>
      </c>
      <c r="B58" s="3" t="n">
        <f aca="false">'Daily Data'!B57</f>
        <v>1</v>
      </c>
      <c r="C58" s="3" t="n">
        <f aca="false">'Daily Data'!C57</f>
        <v>48</v>
      </c>
      <c r="D58" s="20" t="n">
        <f aca="false">'Daily Data'!G57*'Daily Data'!C57</f>
        <v>22.848</v>
      </c>
      <c r="E58" s="20" t="n">
        <f aca="false">'Daily Data'!D57*'Daily Data'!C57</f>
        <v>24</v>
      </c>
      <c r="F58" s="20" t="n">
        <f aca="false">('Daily Data'!J57*'Daily Data'!C57)/60</f>
        <v>5.10832</v>
      </c>
      <c r="G58" s="20" t="n">
        <f aca="false">('Daily Data'!H57*'Daily Data'!C57)/60</f>
        <v>5.6</v>
      </c>
      <c r="H58" s="21" t="n">
        <f aca="false">('Daily Data'!F57-'Daily Data'!E57)*D58</f>
        <v>-1.33432320000001</v>
      </c>
      <c r="I58" s="21" t="n">
        <f aca="false">(D58-E58)*'Daily Data'!E57</f>
        <v>-3.6864</v>
      </c>
      <c r="J58" s="21" t="n">
        <f aca="false">('Daily Data'!K57-'Daily Data'!I57)*F58</f>
        <v>-0.174193712000002</v>
      </c>
      <c r="K58" s="21" t="n">
        <f aca="false">(F58-G58)*'Daily Data'!I57</f>
        <v>-6.63768</v>
      </c>
      <c r="L58" s="22" t="n">
        <f aca="false">H58+I58</f>
        <v>-5.02072320000001</v>
      </c>
      <c r="M58" s="22" t="n">
        <f aca="false">J58+K58</f>
        <v>-6.811873712</v>
      </c>
      <c r="N58" s="22" t="n">
        <f aca="false">L58+M58</f>
        <v>-11.832596912</v>
      </c>
    </row>
    <row r="59" customFormat="false" ht="15" hidden="false" customHeight="false" outlineLevel="0" collapsed="false">
      <c r="A59" s="3" t="str">
        <f aca="false">'Daily Data'!A58</f>
        <v>Chow Mein (Chicken)</v>
      </c>
      <c r="B59" s="3" t="n">
        <f aca="false">'Daily Data'!B58</f>
        <v>2</v>
      </c>
      <c r="C59" s="3" t="n">
        <f aca="false">'Daily Data'!C58</f>
        <v>46</v>
      </c>
      <c r="D59" s="20" t="n">
        <f aca="false">'Daily Data'!G58*'Daily Data'!C58</f>
        <v>22.7746</v>
      </c>
      <c r="E59" s="20" t="n">
        <f aca="false">'Daily Data'!D58*'Daily Data'!C58</f>
        <v>23</v>
      </c>
      <c r="F59" s="20" t="n">
        <f aca="false">('Daily Data'!J58*'Daily Data'!C58)/60</f>
        <v>5.16426666666667</v>
      </c>
      <c r="G59" s="20" t="n">
        <f aca="false">('Daily Data'!H58*'Daily Data'!C58)/60</f>
        <v>5.36666666666667</v>
      </c>
      <c r="H59" s="21" t="n">
        <f aca="false">('Daily Data'!F58-'Daily Data'!E58)*D59</f>
        <v>-0.835827820000004</v>
      </c>
      <c r="I59" s="21" t="n">
        <f aca="false">(D59-E59)*'Daily Data'!E58</f>
        <v>-0.721280000000002</v>
      </c>
      <c r="J59" s="21" t="n">
        <f aca="false">('Daily Data'!K58-'Daily Data'!I58)*F59</f>
        <v>0.0908910933333325</v>
      </c>
      <c r="K59" s="21" t="n">
        <f aca="false">(F59-G59)*'Daily Data'!I58</f>
        <v>-2.7324</v>
      </c>
      <c r="L59" s="22" t="n">
        <f aca="false">H59+I59</f>
        <v>-1.55710782000001</v>
      </c>
      <c r="M59" s="22" t="n">
        <f aca="false">J59+K59</f>
        <v>-2.64150890666667</v>
      </c>
      <c r="N59" s="22" t="n">
        <f aca="false">L59+M59</f>
        <v>-4.19861672666667</v>
      </c>
    </row>
    <row r="60" customFormat="false" ht="15" hidden="false" customHeight="false" outlineLevel="0" collapsed="false">
      <c r="A60" s="3" t="str">
        <f aca="false">'Daily Data'!A59</f>
        <v>Chow Mein (Chicken)</v>
      </c>
      <c r="B60" s="3" t="n">
        <f aca="false">'Daily Data'!B59</f>
        <v>3</v>
      </c>
      <c r="C60" s="3" t="n">
        <f aca="false">'Daily Data'!C59</f>
        <v>64</v>
      </c>
      <c r="D60" s="20" t="n">
        <f aca="false">'Daily Data'!G59*'Daily Data'!C59</f>
        <v>33.408</v>
      </c>
      <c r="E60" s="20" t="n">
        <f aca="false">'Daily Data'!D59*'Daily Data'!C59</f>
        <v>32</v>
      </c>
      <c r="F60" s="20" t="n">
        <f aca="false">('Daily Data'!J59*'Daily Data'!C59)/60</f>
        <v>7.47317333333333</v>
      </c>
      <c r="G60" s="20" t="n">
        <f aca="false">('Daily Data'!H59*'Daily Data'!C59)/60</f>
        <v>7.46666666666667</v>
      </c>
      <c r="H60" s="21" t="n">
        <f aca="false">('Daily Data'!F59-'Daily Data'!E59)*D60</f>
        <v>-2.539008</v>
      </c>
      <c r="I60" s="21" t="n">
        <f aca="false">(D60-E60)*'Daily Data'!E59</f>
        <v>4.5056</v>
      </c>
      <c r="J60" s="21" t="n">
        <f aca="false">('Daily Data'!K59-'Daily Data'!I59)*F60</f>
        <v>-0.990195466666669</v>
      </c>
      <c r="K60" s="21" t="n">
        <f aca="false">(F60-G60)*'Daily Data'!I59</f>
        <v>0.0878399999999999</v>
      </c>
      <c r="L60" s="22" t="n">
        <f aca="false">H60+I60</f>
        <v>1.966592</v>
      </c>
      <c r="M60" s="22" t="n">
        <f aca="false">J60+K60</f>
        <v>-0.902355466666669</v>
      </c>
      <c r="N60" s="22" t="n">
        <f aca="false">L60+M60</f>
        <v>1.06423653333333</v>
      </c>
    </row>
    <row r="61" customFormat="false" ht="15" hidden="false" customHeight="false" outlineLevel="0" collapsed="false">
      <c r="A61" s="3" t="str">
        <f aca="false">'Daily Data'!A60</f>
        <v>Chow Mein (Chicken)</v>
      </c>
      <c r="B61" s="3" t="n">
        <f aca="false">'Daily Data'!B60</f>
        <v>4</v>
      </c>
      <c r="C61" s="3" t="n">
        <f aca="false">'Daily Data'!C60</f>
        <v>58</v>
      </c>
      <c r="D61" s="20" t="n">
        <f aca="false">'Daily Data'!G60*'Daily Data'!C60</f>
        <v>29.3074</v>
      </c>
      <c r="E61" s="20" t="n">
        <f aca="false">'Daily Data'!D60*'Daily Data'!C60</f>
        <v>29</v>
      </c>
      <c r="F61" s="20" t="n">
        <f aca="false">('Daily Data'!J60*'Daily Data'!C60)/60</f>
        <v>6.80717</v>
      </c>
      <c r="G61" s="20" t="n">
        <f aca="false">('Daily Data'!H60*'Daily Data'!C60)/60</f>
        <v>6.76666666666667</v>
      </c>
      <c r="H61" s="21" t="n">
        <f aca="false">('Daily Data'!F60-'Daily Data'!E60)*D61</f>
        <v>-1.61483774000001</v>
      </c>
      <c r="I61" s="21" t="n">
        <f aca="false">(D61-E61)*'Daily Data'!E60</f>
        <v>0.983679999999993</v>
      </c>
      <c r="J61" s="21" t="n">
        <f aca="false">('Daily Data'!K60-'Daily Data'!I60)*F61</f>
        <v>-0.353972839999997</v>
      </c>
      <c r="K61" s="21" t="n">
        <f aca="false">(F61-G61)*'Daily Data'!I60</f>
        <v>0.546795000000003</v>
      </c>
      <c r="L61" s="22" t="n">
        <f aca="false">H61+I61</f>
        <v>-0.631157740000018</v>
      </c>
      <c r="M61" s="22" t="n">
        <f aca="false">J61+K61</f>
        <v>0.192822160000006</v>
      </c>
      <c r="N61" s="22" t="n">
        <f aca="false">L61+M61</f>
        <v>-0.438335580000012</v>
      </c>
    </row>
    <row r="62" customFormat="false" ht="15" hidden="false" customHeight="false" outlineLevel="0" collapsed="false">
      <c r="A62" s="3" t="str">
        <f aca="false">'Daily Data'!A61</f>
        <v>Chow Mein (Chicken)</v>
      </c>
      <c r="B62" s="3" t="n">
        <f aca="false">'Daily Data'!B61</f>
        <v>5</v>
      </c>
      <c r="C62" s="3" t="n">
        <f aca="false">'Daily Data'!C61</f>
        <v>55</v>
      </c>
      <c r="D62" s="20" t="n">
        <f aca="false">'Daily Data'!G61*'Daily Data'!C61</f>
        <v>29.051</v>
      </c>
      <c r="E62" s="20" t="n">
        <f aca="false">'Daily Data'!D61*'Daily Data'!C61</f>
        <v>27.5</v>
      </c>
      <c r="F62" s="20" t="n">
        <f aca="false">('Daily Data'!J61*'Daily Data'!C61)/60</f>
        <v>5.73585833333333</v>
      </c>
      <c r="G62" s="20" t="n">
        <f aca="false">('Daily Data'!H61*'Daily Data'!C61)/60</f>
        <v>6.41666666666667</v>
      </c>
      <c r="H62" s="21" t="n">
        <f aca="false">('Daily Data'!F61-'Daily Data'!E61)*D62</f>
        <v>-1.4264041</v>
      </c>
      <c r="I62" s="21" t="n">
        <f aca="false">(D62-E62)*'Daily Data'!E61</f>
        <v>4.96320000000001</v>
      </c>
      <c r="J62" s="21" t="n">
        <f aca="false">('Daily Data'!K61-'Daily Data'!I61)*F62</f>
        <v>1.6519272</v>
      </c>
      <c r="K62" s="21" t="n">
        <f aca="false">(F62-G62)*'Daily Data'!I61</f>
        <v>-9.1909125</v>
      </c>
      <c r="L62" s="22" t="n">
        <f aca="false">H62+I62</f>
        <v>3.5367959</v>
      </c>
      <c r="M62" s="22" t="n">
        <f aca="false">J62+K62</f>
        <v>-7.5389853</v>
      </c>
      <c r="N62" s="22" t="n">
        <f aca="false">L62+M62</f>
        <v>-4.0021894</v>
      </c>
    </row>
    <row r="63" customFormat="false" ht="15" hidden="false" customHeight="false" outlineLevel="0" collapsed="false">
      <c r="A63" s="3" t="str">
        <f aca="false">'Daily Data'!A62</f>
        <v>Chow Mein (Chicken)</v>
      </c>
      <c r="B63" s="3" t="n">
        <f aca="false">'Daily Data'!B62</f>
        <v>6</v>
      </c>
      <c r="C63" s="3" t="n">
        <f aca="false">'Daily Data'!C62</f>
        <v>42</v>
      </c>
      <c r="D63" s="20" t="n">
        <f aca="false">'Daily Data'!G62*'Daily Data'!C62</f>
        <v>21.8064</v>
      </c>
      <c r="E63" s="20" t="n">
        <f aca="false">'Daily Data'!D62*'Daily Data'!C62</f>
        <v>21</v>
      </c>
      <c r="F63" s="20" t="n">
        <f aca="false">('Daily Data'!J62*'Daily Data'!C62)/60</f>
        <v>5.01802</v>
      </c>
      <c r="G63" s="20" t="n">
        <f aca="false">('Daily Data'!H62*'Daily Data'!C62)/60</f>
        <v>4.9</v>
      </c>
      <c r="H63" s="21" t="n">
        <f aca="false">('Daily Data'!F62-'Daily Data'!E62)*D63</f>
        <v>-1.29748080000001</v>
      </c>
      <c r="I63" s="21" t="n">
        <f aca="false">(D63-E63)*'Daily Data'!E62</f>
        <v>2.58048</v>
      </c>
      <c r="J63" s="21" t="n">
        <f aca="false">('Daily Data'!K62-'Daily Data'!I62)*F63</f>
        <v>-0.422015481999997</v>
      </c>
      <c r="K63" s="21" t="n">
        <f aca="false">(F63-G63)*'Daily Data'!I62</f>
        <v>1.59326999999998</v>
      </c>
      <c r="L63" s="22" t="n">
        <f aca="false">H63+I63</f>
        <v>1.28299919999999</v>
      </c>
      <c r="M63" s="22" t="n">
        <f aca="false">J63+K63</f>
        <v>1.17125451799999</v>
      </c>
      <c r="N63" s="22" t="n">
        <f aca="false">L63+M63</f>
        <v>2.45425371799998</v>
      </c>
    </row>
    <row r="64" customFormat="false" ht="15" hidden="false" customHeight="false" outlineLevel="0" collapsed="false">
      <c r="A64" s="3" t="str">
        <f aca="false">'Daily Data'!A63</f>
        <v>Chow Mein (Chicken)</v>
      </c>
      <c r="B64" s="3" t="n">
        <f aca="false">'Daily Data'!B63</f>
        <v>7</v>
      </c>
      <c r="C64" s="3" t="n">
        <f aca="false">'Daily Data'!C63</f>
        <v>53</v>
      </c>
      <c r="D64" s="20" t="n">
        <f aca="false">'Daily Data'!G63*'Daily Data'!C63</f>
        <v>26.9399</v>
      </c>
      <c r="E64" s="20" t="n">
        <f aca="false">'Daily Data'!D63*'Daily Data'!C63</f>
        <v>26.5</v>
      </c>
      <c r="F64" s="20" t="n">
        <f aca="false">('Daily Data'!J63*'Daily Data'!C63)/60</f>
        <v>6.63365666666667</v>
      </c>
      <c r="G64" s="20" t="n">
        <f aca="false">('Daily Data'!H63*'Daily Data'!C63)/60</f>
        <v>6.18333333333333</v>
      </c>
      <c r="H64" s="21" t="n">
        <f aca="false">('Daily Data'!F63-'Daily Data'!E63)*D64</f>
        <v>-1.72145961000001</v>
      </c>
      <c r="I64" s="21" t="n">
        <f aca="false">(D64-E64)*'Daily Data'!E63</f>
        <v>1.40767999999999</v>
      </c>
      <c r="J64" s="21" t="n">
        <f aca="false">('Daily Data'!K63-'Daily Data'!I63)*F64</f>
        <v>0.319742251333331</v>
      </c>
      <c r="K64" s="21" t="n">
        <f aca="false">(F64-G64)*'Daily Data'!I63</f>
        <v>6.079365</v>
      </c>
      <c r="L64" s="22" t="n">
        <f aca="false">H64+I64</f>
        <v>-0.313779610000014</v>
      </c>
      <c r="M64" s="22" t="n">
        <f aca="false">J64+K64</f>
        <v>6.39910725133333</v>
      </c>
      <c r="N64" s="22" t="n">
        <f aca="false">L64+M64</f>
        <v>6.08532764133332</v>
      </c>
    </row>
    <row r="65" customFormat="false" ht="15" hidden="false" customHeight="false" outlineLevel="0" collapsed="false">
      <c r="A65" s="3" t="str">
        <f aca="false">'Daily Data'!A64</f>
        <v>Chow Mein (Chicken)</v>
      </c>
      <c r="B65" s="3" t="n">
        <f aca="false">'Daily Data'!B64</f>
        <v>8</v>
      </c>
      <c r="C65" s="3" t="n">
        <f aca="false">'Daily Data'!C64</f>
        <v>50</v>
      </c>
      <c r="D65" s="20" t="n">
        <f aca="false">'Daily Data'!G64*'Daily Data'!C64</f>
        <v>25.915</v>
      </c>
      <c r="E65" s="20" t="n">
        <f aca="false">'Daily Data'!D64*'Daily Data'!C64</f>
        <v>25</v>
      </c>
      <c r="F65" s="20" t="n">
        <f aca="false">('Daily Data'!J64*'Daily Data'!C64)/60</f>
        <v>6.23975</v>
      </c>
      <c r="G65" s="20" t="n">
        <f aca="false">('Daily Data'!H64*'Daily Data'!C64)/60</f>
        <v>5.83333333333333</v>
      </c>
      <c r="H65" s="21" t="n">
        <f aca="false">('Daily Data'!F64-'Daily Data'!E64)*D65</f>
        <v>-1.1946815</v>
      </c>
      <c r="I65" s="21" t="n">
        <f aca="false">(D65-E65)*'Daily Data'!E64</f>
        <v>2.928</v>
      </c>
      <c r="J65" s="21" t="n">
        <f aca="false">('Daily Data'!K64-'Daily Data'!I64)*F65</f>
        <v>0.530378750000005</v>
      </c>
      <c r="K65" s="21" t="n">
        <f aca="false">(F65-G65)*'Daily Data'!I64</f>
        <v>5.486625</v>
      </c>
      <c r="L65" s="22" t="n">
        <f aca="false">H65+I65</f>
        <v>1.7333185</v>
      </c>
      <c r="M65" s="22" t="n">
        <f aca="false">J65+K65</f>
        <v>6.01700375000001</v>
      </c>
      <c r="N65" s="22" t="n">
        <f aca="false">L65+M65</f>
        <v>7.75032225</v>
      </c>
    </row>
    <row r="66" customFormat="false" ht="15" hidden="false" customHeight="false" outlineLevel="0" collapsed="false">
      <c r="A66" s="3" t="str">
        <f aca="false">'Daily Data'!A65</f>
        <v>Chow Mein (Chicken)</v>
      </c>
      <c r="B66" s="3" t="n">
        <f aca="false">'Daily Data'!B65</f>
        <v>9</v>
      </c>
      <c r="C66" s="3" t="n">
        <f aca="false">'Daily Data'!C65</f>
        <v>49</v>
      </c>
      <c r="D66" s="20" t="n">
        <f aca="false">'Daily Data'!G65*'Daily Data'!C65</f>
        <v>25.6564</v>
      </c>
      <c r="E66" s="20" t="n">
        <f aca="false">'Daily Data'!D65*'Daily Data'!C65</f>
        <v>24.5</v>
      </c>
      <c r="F66" s="20" t="n">
        <f aca="false">('Daily Data'!J65*'Daily Data'!C65)/60</f>
        <v>6.01573</v>
      </c>
      <c r="G66" s="20" t="n">
        <f aca="false">('Daily Data'!H65*'Daily Data'!C65)/60</f>
        <v>5.71666666666667</v>
      </c>
      <c r="H66" s="21" t="n">
        <f aca="false">('Daily Data'!F65-'Daily Data'!E65)*D66</f>
        <v>-1.66253472</v>
      </c>
      <c r="I66" s="21" t="n">
        <f aca="false">(D66-E66)*'Daily Data'!E65</f>
        <v>3.70047999999999</v>
      </c>
      <c r="J66" s="21" t="n">
        <f aca="false">('Daily Data'!K65-'Daily Data'!I65)*F66</f>
        <v>-0.0168440440000035</v>
      </c>
      <c r="K66" s="21" t="n">
        <f aca="false">(F66-G66)*'Daily Data'!I65</f>
        <v>4.03735500000001</v>
      </c>
      <c r="L66" s="22" t="n">
        <f aca="false">H66+I66</f>
        <v>2.03794527999999</v>
      </c>
      <c r="M66" s="22" t="n">
        <f aca="false">J66+K66</f>
        <v>4.020510956</v>
      </c>
      <c r="N66" s="22" t="n">
        <f aca="false">L66+M66</f>
        <v>6.058456236</v>
      </c>
    </row>
    <row r="67" customFormat="false" ht="15" hidden="false" customHeight="false" outlineLevel="0" collapsed="false">
      <c r="A67" s="3" t="str">
        <f aca="false">'Daily Data'!A66</f>
        <v>Chow Mein (Chicken)</v>
      </c>
      <c r="B67" s="3" t="n">
        <f aca="false">'Daily Data'!B66</f>
        <v>10</v>
      </c>
      <c r="C67" s="3" t="n">
        <f aca="false">'Daily Data'!C66</f>
        <v>55</v>
      </c>
      <c r="D67" s="20" t="n">
        <f aca="false">'Daily Data'!G66*'Daily Data'!C66</f>
        <v>28.116</v>
      </c>
      <c r="E67" s="20" t="n">
        <f aca="false">'Daily Data'!D66*'Daily Data'!C66</f>
        <v>27.5</v>
      </c>
      <c r="F67" s="20" t="n">
        <f aca="false">('Daily Data'!J66*'Daily Data'!C66)/60</f>
        <v>6.71760833333333</v>
      </c>
      <c r="G67" s="20" t="n">
        <f aca="false">('Daily Data'!H66*'Daily Data'!C66)/60</f>
        <v>6.41666666666667</v>
      </c>
      <c r="H67" s="21" t="n">
        <f aca="false">('Daily Data'!F66-'Daily Data'!E66)*D67</f>
        <v>-1.15837920000001</v>
      </c>
      <c r="I67" s="21" t="n">
        <f aca="false">(D67-E67)*'Daily Data'!E66</f>
        <v>1.9712</v>
      </c>
      <c r="J67" s="21" t="n">
        <f aca="false">('Daily Data'!K66-'Daily Data'!I66)*F67</f>
        <v>-0.183390707500002</v>
      </c>
      <c r="K67" s="21" t="n">
        <f aca="false">(F67-G67)*'Daily Data'!I66</f>
        <v>4.06271249999999</v>
      </c>
      <c r="L67" s="22" t="n">
        <f aca="false">H67+I67</f>
        <v>0.812820799999989</v>
      </c>
      <c r="M67" s="22" t="n">
        <f aca="false">J67+K67</f>
        <v>3.87932179249999</v>
      </c>
      <c r="N67" s="22" t="n">
        <f aca="false">L67+M67</f>
        <v>4.69214259249998</v>
      </c>
    </row>
    <row r="68" customFormat="false" ht="15" hidden="false" customHeight="false" outlineLevel="0" collapsed="false">
      <c r="A68" s="3" t="str">
        <f aca="false">'Daily Data'!A67</f>
        <v>Chow Mein (Chicken)</v>
      </c>
      <c r="B68" s="3" t="n">
        <f aca="false">'Daily Data'!B67</f>
        <v>11</v>
      </c>
      <c r="C68" s="3" t="n">
        <f aca="false">'Daily Data'!C67</f>
        <v>53</v>
      </c>
      <c r="D68" s="20" t="n">
        <f aca="false">'Daily Data'!G67*'Daily Data'!C67</f>
        <v>27.8939</v>
      </c>
      <c r="E68" s="20" t="n">
        <f aca="false">'Daily Data'!D67*'Daily Data'!C67</f>
        <v>26.5</v>
      </c>
      <c r="F68" s="20" t="n">
        <f aca="false">('Daily Data'!J67*'Daily Data'!C67)/60</f>
        <v>6.61448833333333</v>
      </c>
      <c r="G68" s="20" t="n">
        <f aca="false">('Daily Data'!H67*'Daily Data'!C67)/60</f>
        <v>6.18333333333333</v>
      </c>
      <c r="H68" s="21" t="n">
        <f aca="false">('Daily Data'!F67-'Daily Data'!E67)*D68</f>
        <v>-1.21338465000001</v>
      </c>
      <c r="I68" s="21" t="n">
        <f aca="false">(D68-E68)*'Daily Data'!E67</f>
        <v>4.46048</v>
      </c>
      <c r="J68" s="21" t="n">
        <f aca="false">('Daily Data'!K67-'Daily Data'!I67)*F68</f>
        <v>1.16547284433333</v>
      </c>
      <c r="K68" s="21" t="n">
        <f aca="false">(F68-G68)*'Daily Data'!I67</f>
        <v>5.82059249999999</v>
      </c>
      <c r="L68" s="22" t="n">
        <f aca="false">H68+I68</f>
        <v>3.24709534999999</v>
      </c>
      <c r="M68" s="22" t="n">
        <f aca="false">J68+K68</f>
        <v>6.98606534433332</v>
      </c>
      <c r="N68" s="22" t="n">
        <f aca="false">L68+M68</f>
        <v>10.2331606943333</v>
      </c>
    </row>
    <row r="69" customFormat="false" ht="15" hidden="false" customHeight="false" outlineLevel="0" collapsed="false">
      <c r="A69" s="3" t="str">
        <f aca="false">'Daily Data'!A68</f>
        <v>Chow Mein (Chicken)</v>
      </c>
      <c r="B69" s="3" t="n">
        <f aca="false">'Daily Data'!B68</f>
        <v>12</v>
      </c>
      <c r="C69" s="3" t="n">
        <f aca="false">'Daily Data'!C68</f>
        <v>55</v>
      </c>
      <c r="D69" s="20" t="n">
        <f aca="false">'Daily Data'!G68*'Daily Data'!C68</f>
        <v>28.3745</v>
      </c>
      <c r="E69" s="20" t="n">
        <f aca="false">'Daily Data'!D68*'Daily Data'!C68</f>
        <v>27.5</v>
      </c>
      <c r="F69" s="20" t="n">
        <f aca="false">('Daily Data'!J68*'Daily Data'!C68)/60</f>
        <v>6.59495833333333</v>
      </c>
      <c r="G69" s="20" t="n">
        <f aca="false">('Daily Data'!H68*'Daily Data'!C68)/60</f>
        <v>6.41666666666667</v>
      </c>
      <c r="H69" s="21" t="n">
        <f aca="false">('Daily Data'!F68-'Daily Data'!E68)*D69</f>
        <v>-1.38751305</v>
      </c>
      <c r="I69" s="21" t="n">
        <f aca="false">(D69-E69)*'Daily Data'!E68</f>
        <v>2.7984</v>
      </c>
      <c r="J69" s="21" t="n">
        <f aca="false">('Daily Data'!K68-'Daily Data'!I68)*F69</f>
        <v>-0.116071266666666</v>
      </c>
      <c r="K69" s="21" t="n">
        <f aca="false">(F69-G69)*'Daily Data'!I68</f>
        <v>2.4069375</v>
      </c>
      <c r="L69" s="22" t="n">
        <f aca="false">H69+I69</f>
        <v>1.41088695</v>
      </c>
      <c r="M69" s="22" t="n">
        <f aca="false">J69+K69</f>
        <v>2.29086623333333</v>
      </c>
      <c r="N69" s="22" t="n">
        <f aca="false">L69+M69</f>
        <v>3.70175318333333</v>
      </c>
    </row>
    <row r="70" customFormat="false" ht="15" hidden="false" customHeight="false" outlineLevel="0" collapsed="false">
      <c r="A70" s="3" t="str">
        <f aca="false">'Daily Data'!A69</f>
        <v>Chow Mein (Chicken)</v>
      </c>
      <c r="B70" s="3" t="n">
        <f aca="false">'Daily Data'!B69</f>
        <v>13</v>
      </c>
      <c r="C70" s="3" t="n">
        <f aca="false">'Daily Data'!C69</f>
        <v>55</v>
      </c>
      <c r="D70" s="20" t="n">
        <f aca="false">'Daily Data'!G69*'Daily Data'!C69</f>
        <v>28.149</v>
      </c>
      <c r="E70" s="20" t="n">
        <f aca="false">'Daily Data'!D69*'Daily Data'!C69</f>
        <v>27.5</v>
      </c>
      <c r="F70" s="20" t="n">
        <f aca="false">('Daily Data'!J69*'Daily Data'!C69)/60</f>
        <v>7.56745</v>
      </c>
      <c r="G70" s="20" t="n">
        <f aca="false">('Daily Data'!H69*'Daily Data'!C69)/60</f>
        <v>6.41666666666667</v>
      </c>
      <c r="H70" s="21" t="n">
        <f aca="false">('Daily Data'!F69-'Daily Data'!E69)*D70</f>
        <v>-1.40745000000001</v>
      </c>
      <c r="I70" s="21" t="n">
        <f aca="false">(D70-E70)*'Daily Data'!E69</f>
        <v>2.0768</v>
      </c>
      <c r="J70" s="21" t="n">
        <f aca="false">('Daily Data'!K69-'Daily Data'!I69)*F70</f>
        <v>-1.02765971</v>
      </c>
      <c r="K70" s="21" t="n">
        <f aca="false">(F70-G70)*'Daily Data'!I69</f>
        <v>15.535575</v>
      </c>
      <c r="L70" s="22" t="n">
        <f aca="false">H70+I70</f>
        <v>0.669349999999995</v>
      </c>
      <c r="M70" s="22" t="n">
        <f aca="false">J70+K70</f>
        <v>14.50791529</v>
      </c>
      <c r="N70" s="22" t="n">
        <f aca="false">L70+M70</f>
        <v>15.17726529</v>
      </c>
    </row>
    <row r="71" customFormat="false" ht="15" hidden="false" customHeight="false" outlineLevel="0" collapsed="false">
      <c r="A71" s="3" t="str">
        <f aca="false">'Daily Data'!A70</f>
        <v>Chow Mein (Chicken)</v>
      </c>
      <c r="B71" s="3" t="n">
        <f aca="false">'Daily Data'!B70</f>
        <v>14</v>
      </c>
      <c r="C71" s="3" t="n">
        <f aca="false">'Daily Data'!C70</f>
        <v>46</v>
      </c>
      <c r="D71" s="20" t="n">
        <f aca="false">'Daily Data'!G70*'Daily Data'!C70</f>
        <v>24.3294</v>
      </c>
      <c r="E71" s="20" t="n">
        <f aca="false">'Daily Data'!D70*'Daily Data'!C70</f>
        <v>23</v>
      </c>
      <c r="F71" s="20" t="n">
        <f aca="false">('Daily Data'!J70*'Daily Data'!C70)/60</f>
        <v>5.65378333333333</v>
      </c>
      <c r="G71" s="20" t="n">
        <f aca="false">('Daily Data'!H70*'Daily Data'!C70)/60</f>
        <v>5.36666666666667</v>
      </c>
      <c r="H71" s="21" t="n">
        <f aca="false">('Daily Data'!F70-'Daily Data'!E70)*D71</f>
        <v>-1.04129832</v>
      </c>
      <c r="I71" s="21" t="n">
        <f aca="false">(D71-E71)*'Daily Data'!E70</f>
        <v>4.25408000000001</v>
      </c>
      <c r="J71" s="21" t="n">
        <f aca="false">('Daily Data'!K70-'Daily Data'!I70)*F71</f>
        <v>0.479440826666664</v>
      </c>
      <c r="K71" s="21" t="n">
        <f aca="false">(F71-G71)*'Daily Data'!I70</f>
        <v>3.87607500000002</v>
      </c>
      <c r="L71" s="22" t="n">
        <f aca="false">H71+I71</f>
        <v>3.21278168000001</v>
      </c>
      <c r="M71" s="22" t="n">
        <f aca="false">J71+K71</f>
        <v>4.35551582666668</v>
      </c>
      <c r="N71" s="22" t="n">
        <f aca="false">L71+M71</f>
        <v>7.56829750666669</v>
      </c>
    </row>
    <row r="72" customFormat="false" ht="15" hidden="false" customHeight="false" outlineLevel="0" collapsed="false">
      <c r="A72" s="3" t="str">
        <f aca="false">'Daily Data'!A71</f>
        <v>Chow Mein (Chicken)</v>
      </c>
      <c r="B72" s="3" t="n">
        <f aca="false">'Daily Data'!B71</f>
        <v>15</v>
      </c>
      <c r="C72" s="3" t="n">
        <f aca="false">'Daily Data'!C71</f>
        <v>54</v>
      </c>
      <c r="D72" s="20" t="n">
        <f aca="false">'Daily Data'!G71*'Daily Data'!C71</f>
        <v>28.2258</v>
      </c>
      <c r="E72" s="20" t="n">
        <f aca="false">'Daily Data'!D71*'Daily Data'!C71</f>
        <v>27</v>
      </c>
      <c r="F72" s="20" t="n">
        <f aca="false">('Daily Data'!J71*'Daily Data'!C71)/60</f>
        <v>5.93433</v>
      </c>
      <c r="G72" s="20" t="n">
        <f aca="false">('Daily Data'!H71*'Daily Data'!C71)/60</f>
        <v>6.3</v>
      </c>
      <c r="H72" s="21" t="n">
        <f aca="false">('Daily Data'!F71-'Daily Data'!E71)*D72</f>
        <v>-1.95040278</v>
      </c>
      <c r="I72" s="21" t="n">
        <f aca="false">(D72-E72)*'Daily Data'!E71</f>
        <v>3.92256000000001</v>
      </c>
      <c r="J72" s="21" t="n">
        <f aca="false">('Daily Data'!K71-'Daily Data'!I71)*F72</f>
        <v>0.780957828000004</v>
      </c>
      <c r="K72" s="21" t="n">
        <f aca="false">(F72-G72)*'Daily Data'!I71</f>
        <v>-4.936545</v>
      </c>
      <c r="L72" s="22" t="n">
        <f aca="false">H72+I72</f>
        <v>1.97215722000001</v>
      </c>
      <c r="M72" s="22" t="n">
        <f aca="false">J72+K72</f>
        <v>-4.15558717199999</v>
      </c>
      <c r="N72" s="22" t="n">
        <f aca="false">L72+M72</f>
        <v>-2.18342995199999</v>
      </c>
    </row>
    <row r="73" customFormat="false" ht="15" hidden="false" customHeight="false" outlineLevel="0" collapsed="false">
      <c r="A73" s="3" t="str">
        <f aca="false">'Daily Data'!A72</f>
        <v>Chow Mein (Chicken)</v>
      </c>
      <c r="B73" s="3" t="n">
        <f aca="false">'Daily Data'!B72</f>
        <v>16</v>
      </c>
      <c r="C73" s="3" t="n">
        <f aca="false">'Daily Data'!C72</f>
        <v>54</v>
      </c>
      <c r="D73" s="20" t="n">
        <f aca="false">'Daily Data'!G72*'Daily Data'!C72</f>
        <v>28.0638</v>
      </c>
      <c r="E73" s="20" t="n">
        <f aca="false">'Daily Data'!D72*'Daily Data'!C72</f>
        <v>27</v>
      </c>
      <c r="F73" s="20" t="n">
        <f aca="false">('Daily Data'!J72*'Daily Data'!C72)/60</f>
        <v>6.52302</v>
      </c>
      <c r="G73" s="20" t="n">
        <f aca="false">('Daily Data'!H72*'Daily Data'!C72)/60</f>
        <v>6.3</v>
      </c>
      <c r="H73" s="21" t="n">
        <f aca="false">('Daily Data'!F72-'Daily Data'!E72)*D73</f>
        <v>-1.91395116</v>
      </c>
      <c r="I73" s="21" t="n">
        <f aca="false">(D73-E73)*'Daily Data'!E72</f>
        <v>3.40416000000001</v>
      </c>
      <c r="J73" s="21" t="n">
        <f aca="false">('Daily Data'!K72-'Daily Data'!I72)*F73</f>
        <v>-0.496401822000002</v>
      </c>
      <c r="K73" s="21" t="n">
        <f aca="false">(F73-G73)*'Daily Data'!I72</f>
        <v>3.01077</v>
      </c>
      <c r="L73" s="22" t="n">
        <f aca="false">H73+I73</f>
        <v>1.49020884000001</v>
      </c>
      <c r="M73" s="22" t="n">
        <f aca="false">J73+K73</f>
        <v>2.514368178</v>
      </c>
      <c r="N73" s="22" t="n">
        <f aca="false">L73+M73</f>
        <v>4.00457701800001</v>
      </c>
    </row>
    <row r="74" customFormat="false" ht="15" hidden="false" customHeight="false" outlineLevel="0" collapsed="false">
      <c r="A74" s="3" t="str">
        <f aca="false">'Daily Data'!A73</f>
        <v>Chow Mein (Chicken)</v>
      </c>
      <c r="B74" s="3" t="n">
        <f aca="false">'Daily Data'!B73</f>
        <v>17</v>
      </c>
      <c r="C74" s="3" t="n">
        <f aca="false">'Daily Data'!C73</f>
        <v>49</v>
      </c>
      <c r="D74" s="20" t="n">
        <f aca="false">'Daily Data'!G73*'Daily Data'!C73</f>
        <v>25.7887</v>
      </c>
      <c r="E74" s="20" t="n">
        <f aca="false">'Daily Data'!D73*'Daily Data'!C73</f>
        <v>24.5</v>
      </c>
      <c r="F74" s="20" t="n">
        <f aca="false">('Daily Data'!J73*'Daily Data'!C73)/60</f>
        <v>5.46823666666667</v>
      </c>
      <c r="G74" s="20" t="n">
        <f aca="false">('Daily Data'!H73*'Daily Data'!C73)/60</f>
        <v>5.71666666666667</v>
      </c>
      <c r="H74" s="21" t="n">
        <f aca="false">('Daily Data'!F73-'Daily Data'!E73)*D74</f>
        <v>-1.40548415</v>
      </c>
      <c r="I74" s="21" t="n">
        <f aca="false">(D74-E74)*'Daily Data'!E73</f>
        <v>4.12384</v>
      </c>
      <c r="J74" s="21" t="n">
        <f aca="false">('Daily Data'!K73-'Daily Data'!I73)*F74</f>
        <v>-0.347779851999996</v>
      </c>
      <c r="K74" s="21" t="n">
        <f aca="false">(F74-G74)*'Daily Data'!I73</f>
        <v>-3.353805</v>
      </c>
      <c r="L74" s="22" t="n">
        <f aca="false">H74+I74</f>
        <v>2.71835585</v>
      </c>
      <c r="M74" s="22" t="n">
        <f aca="false">J74+K74</f>
        <v>-3.70158485199999</v>
      </c>
      <c r="N74" s="22" t="n">
        <f aca="false">L74+M74</f>
        <v>-0.983229001999998</v>
      </c>
    </row>
    <row r="75" customFormat="false" ht="15" hidden="false" customHeight="false" outlineLevel="0" collapsed="false">
      <c r="A75" s="3" t="str">
        <f aca="false">'Daily Data'!A74</f>
        <v>Chow Mein (Chicken)</v>
      </c>
      <c r="B75" s="3" t="n">
        <f aca="false">'Daily Data'!B74</f>
        <v>18</v>
      </c>
      <c r="C75" s="3" t="n">
        <f aca="false">'Daily Data'!C74</f>
        <v>56</v>
      </c>
      <c r="D75" s="20" t="n">
        <f aca="false">'Daily Data'!G74*'Daily Data'!C74</f>
        <v>28.5992</v>
      </c>
      <c r="E75" s="20" t="n">
        <f aca="false">'Daily Data'!D74*'Daily Data'!C74</f>
        <v>28</v>
      </c>
      <c r="F75" s="20" t="n">
        <f aca="false">('Daily Data'!J74*'Daily Data'!C74)/60</f>
        <v>6.13097333333333</v>
      </c>
      <c r="G75" s="20" t="n">
        <f aca="false">('Daily Data'!H74*'Daily Data'!C74)/60</f>
        <v>6.53333333333333</v>
      </c>
      <c r="H75" s="21" t="n">
        <f aca="false">('Daily Data'!F74-'Daily Data'!E74)*D75</f>
        <v>-2.17639912000001</v>
      </c>
      <c r="I75" s="21" t="n">
        <f aca="false">(D75-E75)*'Daily Data'!E74</f>
        <v>1.91744000000001</v>
      </c>
      <c r="J75" s="21" t="n">
        <f aca="false">('Daily Data'!K74-'Daily Data'!I74)*F75</f>
        <v>-0.176572032000002</v>
      </c>
      <c r="K75" s="21" t="n">
        <f aca="false">(F75-G75)*'Daily Data'!I74</f>
        <v>-5.43186</v>
      </c>
      <c r="L75" s="22" t="n">
        <f aca="false">H75+I75</f>
        <v>-0.258959119999997</v>
      </c>
      <c r="M75" s="22" t="n">
        <f aca="false">J75+K75</f>
        <v>-5.608432032</v>
      </c>
      <c r="N75" s="22" t="n">
        <f aca="false">L75+M75</f>
        <v>-5.867391152</v>
      </c>
    </row>
    <row r="76" customFormat="false" ht="15" hidden="false" customHeight="false" outlineLevel="0" collapsed="false">
      <c r="A76" s="3" t="str">
        <f aca="false">'Daily Data'!A75</f>
        <v>Chow Mein (Chicken)</v>
      </c>
      <c r="B76" s="3" t="n">
        <f aca="false">'Daily Data'!B75</f>
        <v>19</v>
      </c>
      <c r="C76" s="3" t="n">
        <f aca="false">'Daily Data'!C75</f>
        <v>57</v>
      </c>
      <c r="D76" s="20" t="n">
        <f aca="false">'Daily Data'!G75*'Daily Data'!C75</f>
        <v>30.4551</v>
      </c>
      <c r="E76" s="20" t="n">
        <f aca="false">'Daily Data'!D75*'Daily Data'!C75</f>
        <v>28.5</v>
      </c>
      <c r="F76" s="20" t="n">
        <f aca="false">('Daily Data'!J75*'Daily Data'!C75)/60</f>
        <v>6.5588</v>
      </c>
      <c r="G76" s="20" t="n">
        <f aca="false">('Daily Data'!H75*'Daily Data'!C75)/60</f>
        <v>6.65</v>
      </c>
      <c r="H76" s="21" t="n">
        <f aca="false">('Daily Data'!F75-'Daily Data'!E75)*D76</f>
        <v>-1.17861237</v>
      </c>
      <c r="I76" s="21" t="n">
        <f aca="false">(D76-E76)*'Daily Data'!E75</f>
        <v>6.25632000000001</v>
      </c>
      <c r="J76" s="21" t="n">
        <f aca="false">('Daily Data'!K75-'Daily Data'!I75)*F76</f>
        <v>-0.0170528799999952</v>
      </c>
      <c r="K76" s="21" t="n">
        <f aca="false">(F76-G76)*'Daily Data'!I75</f>
        <v>-1.2312</v>
      </c>
      <c r="L76" s="22" t="n">
        <f aca="false">H76+I76</f>
        <v>5.07770763000001</v>
      </c>
      <c r="M76" s="22" t="n">
        <f aca="false">J76+K76</f>
        <v>-1.24825287999999</v>
      </c>
      <c r="N76" s="22" t="n">
        <f aca="false">L76+M76</f>
        <v>3.82945475000002</v>
      </c>
    </row>
    <row r="77" customFormat="false" ht="15" hidden="false" customHeight="false" outlineLevel="0" collapsed="false">
      <c r="A77" s="3" t="str">
        <f aca="false">'Daily Data'!A76</f>
        <v>Chow Mein (Chicken)</v>
      </c>
      <c r="B77" s="3" t="n">
        <f aca="false">'Daily Data'!B76</f>
        <v>20</v>
      </c>
      <c r="C77" s="3" t="n">
        <f aca="false">'Daily Data'!C76</f>
        <v>48</v>
      </c>
      <c r="D77" s="20" t="n">
        <f aca="false">'Daily Data'!G76*'Daily Data'!C76</f>
        <v>25.1424</v>
      </c>
      <c r="E77" s="20" t="n">
        <f aca="false">'Daily Data'!D76*'Daily Data'!C76</f>
        <v>24</v>
      </c>
      <c r="F77" s="20" t="n">
        <f aca="false">('Daily Data'!J76*'Daily Data'!C76)/60</f>
        <v>5.75488</v>
      </c>
      <c r="G77" s="20" t="n">
        <f aca="false">('Daily Data'!H76*'Daily Data'!C76)/60</f>
        <v>5.6</v>
      </c>
      <c r="H77" s="21" t="n">
        <f aca="false">('Daily Data'!F76-'Daily Data'!E76)*D77</f>
        <v>-1.45323072000001</v>
      </c>
      <c r="I77" s="21" t="n">
        <f aca="false">(D77-E77)*'Daily Data'!E76</f>
        <v>3.65568000000001</v>
      </c>
      <c r="J77" s="21" t="n">
        <f aca="false">('Daily Data'!K76-'Daily Data'!I76)*F77</f>
        <v>-0.642820096000005</v>
      </c>
      <c r="K77" s="21" t="n">
        <f aca="false">(F77-G77)*'Daily Data'!I76</f>
        <v>2.09088</v>
      </c>
      <c r="L77" s="22" t="n">
        <f aca="false">H77+I77</f>
        <v>2.20244928</v>
      </c>
      <c r="M77" s="22" t="n">
        <f aca="false">J77+K77</f>
        <v>1.448059904</v>
      </c>
      <c r="N77" s="22" t="n">
        <f aca="false">L77+M77</f>
        <v>3.650509184</v>
      </c>
    </row>
    <row r="78" customFormat="false" ht="15" hidden="false" customHeight="false" outlineLevel="0" collapsed="false">
      <c r="A78" s="3" t="str">
        <f aca="false">'Daily Data'!A77</f>
        <v>Chow Mein (Chicken)</v>
      </c>
      <c r="B78" s="3" t="n">
        <f aca="false">'Daily Data'!B77</f>
        <v>21</v>
      </c>
      <c r="C78" s="3" t="n">
        <f aca="false">'Daily Data'!C77</f>
        <v>58</v>
      </c>
      <c r="D78" s="20" t="n">
        <f aca="false">'Daily Data'!G77*'Daily Data'!C77</f>
        <v>30.5428</v>
      </c>
      <c r="E78" s="20" t="n">
        <f aca="false">'Daily Data'!D77*'Daily Data'!C77</f>
        <v>29</v>
      </c>
      <c r="F78" s="20" t="n">
        <f aca="false">('Daily Data'!J77*'Daily Data'!C77)/60</f>
        <v>6.99963333333333</v>
      </c>
      <c r="G78" s="20" t="n">
        <f aca="false">('Daily Data'!H77*'Daily Data'!C77)/60</f>
        <v>6.76666666666667</v>
      </c>
      <c r="H78" s="21" t="n">
        <f aca="false">('Daily Data'!F77-'Daily Data'!E77)*D78</f>
        <v>-1.16062640000001</v>
      </c>
      <c r="I78" s="21" t="n">
        <f aca="false">(D78-E78)*'Daily Data'!E77</f>
        <v>4.93695999999999</v>
      </c>
      <c r="J78" s="21" t="n">
        <f aca="false">('Daily Data'!K77-'Daily Data'!I77)*F78</f>
        <v>0.652365826666663</v>
      </c>
      <c r="K78" s="21" t="n">
        <f aca="false">(F78-G78)*'Daily Data'!I77</f>
        <v>3.14504999999999</v>
      </c>
      <c r="L78" s="22" t="n">
        <f aca="false">H78+I78</f>
        <v>3.77633359999998</v>
      </c>
      <c r="M78" s="22" t="n">
        <f aca="false">J78+K78</f>
        <v>3.79741582666666</v>
      </c>
      <c r="N78" s="22" t="n">
        <f aca="false">L78+M78</f>
        <v>7.57374942666664</v>
      </c>
    </row>
    <row r="79" customFormat="false" ht="15" hidden="false" customHeight="false" outlineLevel="0" collapsed="false">
      <c r="A79" s="3" t="str">
        <f aca="false">'Daily Data'!A78</f>
        <v>Chow Mein (Chicken)</v>
      </c>
      <c r="B79" s="3" t="n">
        <f aca="false">'Daily Data'!B78</f>
        <v>22</v>
      </c>
      <c r="C79" s="3" t="n">
        <f aca="false">'Daily Data'!C78</f>
        <v>52</v>
      </c>
      <c r="D79" s="20" t="n">
        <f aca="false">'Daily Data'!G78*'Daily Data'!C78</f>
        <v>27.4976</v>
      </c>
      <c r="E79" s="20" t="n">
        <f aca="false">'Daily Data'!D78*'Daily Data'!C78</f>
        <v>26</v>
      </c>
      <c r="F79" s="20" t="n">
        <f aca="false">('Daily Data'!J78*'Daily Data'!C78)/60</f>
        <v>6.11745333333333</v>
      </c>
      <c r="G79" s="20" t="n">
        <f aca="false">('Daily Data'!H78*'Daily Data'!C78)/60</f>
        <v>6.06666666666667</v>
      </c>
      <c r="H79" s="21" t="n">
        <f aca="false">('Daily Data'!F78-'Daily Data'!E78)*D79</f>
        <v>-1.50411872</v>
      </c>
      <c r="I79" s="21" t="n">
        <f aca="false">(D79-E79)*'Daily Data'!E78</f>
        <v>4.79232000000001</v>
      </c>
      <c r="J79" s="21" t="n">
        <f aca="false">('Daily Data'!K78-'Daily Data'!I78)*F79</f>
        <v>-0.638662128</v>
      </c>
      <c r="K79" s="21" t="n">
        <f aca="false">(F79-G79)*'Daily Data'!I78</f>
        <v>0.685620000000007</v>
      </c>
      <c r="L79" s="22" t="n">
        <f aca="false">H79+I79</f>
        <v>3.28820128000001</v>
      </c>
      <c r="M79" s="22" t="n">
        <f aca="false">J79+K79</f>
        <v>0.0469578720000069</v>
      </c>
      <c r="N79" s="22" t="n">
        <f aca="false">L79+M79</f>
        <v>3.33515915200001</v>
      </c>
    </row>
    <row r="80" customFormat="false" ht="15" hidden="false" customHeight="false" outlineLevel="0" collapsed="false">
      <c r="A80" s="3" t="str">
        <f aca="false">'Daily Data'!A79</f>
        <v>Chow Mein (Chicken)</v>
      </c>
      <c r="B80" s="3" t="n">
        <f aca="false">'Daily Data'!B79</f>
        <v>23</v>
      </c>
      <c r="C80" s="3" t="n">
        <f aca="false">'Daily Data'!C79</f>
        <v>55</v>
      </c>
      <c r="D80" s="20" t="n">
        <f aca="false">'Daily Data'!G79*'Daily Data'!C79</f>
        <v>29.9255</v>
      </c>
      <c r="E80" s="20" t="n">
        <f aca="false">'Daily Data'!D79*'Daily Data'!C79</f>
        <v>27.5</v>
      </c>
      <c r="F80" s="20" t="n">
        <f aca="false">('Daily Data'!J79*'Daily Data'!C79)/60</f>
        <v>6.9443</v>
      </c>
      <c r="G80" s="20" t="n">
        <f aca="false">('Daily Data'!H79*'Daily Data'!C79)/60</f>
        <v>6.41666666666667</v>
      </c>
      <c r="H80" s="21" t="n">
        <f aca="false">('Daily Data'!F79-'Daily Data'!E79)*D80</f>
        <v>-1.5321856</v>
      </c>
      <c r="I80" s="21" t="n">
        <f aca="false">(D80-E80)*'Daily Data'!E79</f>
        <v>7.76160000000001</v>
      </c>
      <c r="J80" s="21" t="n">
        <f aca="false">('Daily Data'!K79-'Daily Data'!I79)*F80</f>
        <v>2.01870801</v>
      </c>
      <c r="K80" s="21" t="n">
        <f aca="false">(F80-G80)*'Daily Data'!I79</f>
        <v>7.12304999999999</v>
      </c>
      <c r="L80" s="22" t="n">
        <f aca="false">H80+I80</f>
        <v>6.22941440000001</v>
      </c>
      <c r="M80" s="22" t="n">
        <f aca="false">J80+K80</f>
        <v>9.14175800999998</v>
      </c>
      <c r="N80" s="22" t="n">
        <f aca="false">L80+M80</f>
        <v>15.37117241</v>
      </c>
    </row>
    <row r="81" customFormat="false" ht="15" hidden="false" customHeight="false" outlineLevel="0" collapsed="false">
      <c r="A81" s="3" t="str">
        <f aca="false">'Daily Data'!A80</f>
        <v>Chow Mein (Chicken)</v>
      </c>
      <c r="B81" s="3" t="n">
        <f aca="false">'Daily Data'!B80</f>
        <v>24</v>
      </c>
      <c r="C81" s="3" t="n">
        <f aca="false">'Daily Data'!C80</f>
        <v>49</v>
      </c>
      <c r="D81" s="20" t="n">
        <f aca="false">'Daily Data'!G80*'Daily Data'!C80</f>
        <v>26.0876</v>
      </c>
      <c r="E81" s="20" t="n">
        <f aca="false">'Daily Data'!D80*'Daily Data'!C80</f>
        <v>24.5</v>
      </c>
      <c r="F81" s="20" t="n">
        <f aca="false">('Daily Data'!J80*'Daily Data'!C80)/60</f>
        <v>6.789685</v>
      </c>
      <c r="G81" s="20" t="n">
        <f aca="false">('Daily Data'!H80*'Daily Data'!C80)/60</f>
        <v>5.71666666666667</v>
      </c>
      <c r="H81" s="21" t="n">
        <f aca="false">('Daily Data'!F80-'Daily Data'!E80)*D81</f>
        <v>-1.21046464000001</v>
      </c>
      <c r="I81" s="21" t="n">
        <f aca="false">(D81-E81)*'Daily Data'!E80</f>
        <v>5.08032</v>
      </c>
      <c r="J81" s="21" t="n">
        <f aca="false">('Daily Data'!K80-'Daily Data'!I80)*F81</f>
        <v>-0.740754633499998</v>
      </c>
      <c r="K81" s="21" t="n">
        <f aca="false">(F81-G81)*'Daily Data'!I80</f>
        <v>14.4857475</v>
      </c>
      <c r="L81" s="22" t="n">
        <f aca="false">H81+I81</f>
        <v>3.86985535999999</v>
      </c>
      <c r="M81" s="22" t="n">
        <f aca="false">J81+K81</f>
        <v>13.7449928665</v>
      </c>
      <c r="N81" s="22" t="n">
        <f aca="false">L81+M81</f>
        <v>17.6148482265</v>
      </c>
    </row>
    <row r="82" customFormat="false" ht="15" hidden="false" customHeight="false" outlineLevel="0" collapsed="false">
      <c r="A82" s="3" t="str">
        <f aca="false">'Daily Data'!A81</f>
        <v>Chow Mein (Chicken)</v>
      </c>
      <c r="B82" s="3" t="n">
        <f aca="false">'Daily Data'!B81</f>
        <v>25</v>
      </c>
      <c r="C82" s="3" t="n">
        <f aca="false">'Daily Data'!C81</f>
        <v>49</v>
      </c>
      <c r="D82" s="20" t="n">
        <f aca="false">'Daily Data'!G81*'Daily Data'!C81</f>
        <v>25.0047</v>
      </c>
      <c r="E82" s="20" t="n">
        <f aca="false">'Daily Data'!D81*'Daily Data'!C81</f>
        <v>24.5</v>
      </c>
      <c r="F82" s="20" t="n">
        <f aca="false">('Daily Data'!J81*'Daily Data'!C81)/60</f>
        <v>5.45900833333333</v>
      </c>
      <c r="G82" s="20" t="n">
        <f aca="false">('Daily Data'!H81*'Daily Data'!C81)/60</f>
        <v>5.71666666666667</v>
      </c>
      <c r="H82" s="21" t="n">
        <f aca="false">('Daily Data'!F81-'Daily Data'!E81)*D82</f>
        <v>-1.63280691</v>
      </c>
      <c r="I82" s="21" t="n">
        <f aca="false">(D82-E82)*'Daily Data'!E81</f>
        <v>1.61504</v>
      </c>
      <c r="J82" s="21" t="n">
        <f aca="false">('Daily Data'!K81-'Daily Data'!I81)*F82</f>
        <v>-0.559548354166662</v>
      </c>
      <c r="K82" s="21" t="n">
        <f aca="false">(F82-G82)*'Daily Data'!I81</f>
        <v>-3.4783875</v>
      </c>
      <c r="L82" s="22" t="n">
        <f aca="false">H82+I82</f>
        <v>-0.0177669100000042</v>
      </c>
      <c r="M82" s="22" t="n">
        <f aca="false">J82+K82</f>
        <v>-4.03793585416667</v>
      </c>
      <c r="N82" s="22" t="n">
        <f aca="false">L82+M82</f>
        <v>-4.05570276416667</v>
      </c>
    </row>
    <row r="83" customFormat="false" ht="15" hidden="false" customHeight="false" outlineLevel="0" collapsed="false">
      <c r="A83" s="3" t="str">
        <f aca="false">'Daily Data'!A82</f>
        <v>Chow Mein (Chicken)</v>
      </c>
      <c r="B83" s="3" t="n">
        <f aca="false">'Daily Data'!B82</f>
        <v>26</v>
      </c>
      <c r="C83" s="3" t="n">
        <f aca="false">'Daily Data'!C82</f>
        <v>55</v>
      </c>
      <c r="D83" s="20" t="n">
        <f aca="false">'Daily Data'!G82*'Daily Data'!C82</f>
        <v>30.3215</v>
      </c>
      <c r="E83" s="20" t="n">
        <f aca="false">'Daily Data'!D82*'Daily Data'!C82</f>
        <v>27.5</v>
      </c>
      <c r="F83" s="20" t="n">
        <f aca="false">('Daily Data'!J82*'Daily Data'!C82)/60</f>
        <v>6.93944166666667</v>
      </c>
      <c r="G83" s="20" t="n">
        <f aca="false">('Daily Data'!H82*'Daily Data'!C82)/60</f>
        <v>6.41666666666667</v>
      </c>
      <c r="H83" s="21" t="n">
        <f aca="false">('Daily Data'!F82-'Daily Data'!E82)*D83</f>
        <v>-1.61310380000001</v>
      </c>
      <c r="I83" s="21" t="n">
        <f aca="false">(D83-E83)*'Daily Data'!E82</f>
        <v>9.0288</v>
      </c>
      <c r="J83" s="21" t="n">
        <f aca="false">('Daily Data'!K82-'Daily Data'!I82)*F83</f>
        <v>-0.540582505833331</v>
      </c>
      <c r="K83" s="21" t="n">
        <f aca="false">(F83-G83)*'Daily Data'!I82</f>
        <v>7.05746249999999</v>
      </c>
      <c r="L83" s="22" t="n">
        <f aca="false">H83+I83</f>
        <v>7.41569619999999</v>
      </c>
      <c r="M83" s="22" t="n">
        <f aca="false">J83+K83</f>
        <v>6.51687999416666</v>
      </c>
      <c r="N83" s="22" t="n">
        <f aca="false">L83+M83</f>
        <v>13.9325761941667</v>
      </c>
    </row>
    <row r="84" customFormat="false" ht="15" hidden="false" customHeight="false" outlineLevel="0" collapsed="false">
      <c r="A84" s="3" t="str">
        <f aca="false">'Daily Data'!A83</f>
        <v>Lamb Sekuwa</v>
      </c>
      <c r="B84" s="3" t="n">
        <f aca="false">'Daily Data'!B83</f>
        <v>1</v>
      </c>
      <c r="C84" s="3" t="n">
        <f aca="false">'Daily Data'!C83</f>
        <v>26</v>
      </c>
      <c r="D84" s="20" t="n">
        <f aca="false">'Daily Data'!G83*'Daily Data'!C83</f>
        <v>11.5882</v>
      </c>
      <c r="E84" s="20" t="n">
        <f aca="false">'Daily Data'!D83*'Daily Data'!C83</f>
        <v>11.7</v>
      </c>
      <c r="F84" s="20" t="n">
        <f aca="false">('Daily Data'!J83*'Daily Data'!C83)/60</f>
        <v>4.80952333333333</v>
      </c>
      <c r="G84" s="20" t="n">
        <f aca="false">('Daily Data'!H83*'Daily Data'!C83)/60</f>
        <v>4.33333333333333</v>
      </c>
      <c r="H84" s="21" t="n">
        <f aca="false">('Daily Data'!F83-'Daily Data'!E83)*D84</f>
        <v>-1.20749044</v>
      </c>
      <c r="I84" s="21" t="n">
        <f aca="false">(D84-E84)*'Daily Data'!E83</f>
        <v>-0.726700000000004</v>
      </c>
      <c r="J84" s="21" t="n">
        <f aca="false">('Daily Data'!K83-'Daily Data'!I83)*F84</f>
        <v>0.822428489999997</v>
      </c>
      <c r="K84" s="21" t="n">
        <f aca="false">(F84-G84)*'Daily Data'!I83</f>
        <v>6.90475500000001</v>
      </c>
      <c r="L84" s="22" t="n">
        <f aca="false">H84+I84</f>
        <v>-1.93419044</v>
      </c>
      <c r="M84" s="22" t="n">
        <f aca="false">J84+K84</f>
        <v>7.72718349000001</v>
      </c>
      <c r="N84" s="22" t="n">
        <f aca="false">L84+M84</f>
        <v>5.79299305000001</v>
      </c>
    </row>
    <row r="85" customFormat="false" ht="15" hidden="false" customHeight="false" outlineLevel="0" collapsed="false">
      <c r="A85" s="3" t="str">
        <f aca="false">'Daily Data'!A84</f>
        <v>Lamb Sekuwa</v>
      </c>
      <c r="B85" s="3" t="n">
        <f aca="false">'Daily Data'!B84</f>
        <v>2</v>
      </c>
      <c r="C85" s="3" t="n">
        <f aca="false">'Daily Data'!C84</f>
        <v>28</v>
      </c>
      <c r="D85" s="20" t="n">
        <f aca="false">'Daily Data'!G84*'Daily Data'!C84</f>
        <v>13.1796</v>
      </c>
      <c r="E85" s="20" t="n">
        <f aca="false">'Daily Data'!D84*'Daily Data'!C84</f>
        <v>12.6</v>
      </c>
      <c r="F85" s="20" t="n">
        <f aca="false">('Daily Data'!J84*'Daily Data'!C84)/60</f>
        <v>4.63460666666667</v>
      </c>
      <c r="G85" s="20" t="n">
        <f aca="false">('Daily Data'!H84*'Daily Data'!C84)/60</f>
        <v>4.66666666666667</v>
      </c>
      <c r="H85" s="21" t="n">
        <f aca="false">('Daily Data'!F84-'Daily Data'!E84)*D85</f>
        <v>-2.1285054</v>
      </c>
      <c r="I85" s="21" t="n">
        <f aca="false">(D85-E85)*'Daily Data'!E84</f>
        <v>3.76740000000001</v>
      </c>
      <c r="J85" s="21" t="n">
        <f aca="false">('Daily Data'!K84-'Daily Data'!I84)*F85</f>
        <v>0.831911896666671</v>
      </c>
      <c r="K85" s="21" t="n">
        <f aca="false">(F85-G85)*'Daily Data'!I84</f>
        <v>-0.464869999999993</v>
      </c>
      <c r="L85" s="22" t="n">
        <f aca="false">H85+I85</f>
        <v>1.6388946</v>
      </c>
      <c r="M85" s="22" t="n">
        <f aca="false">J85+K85</f>
        <v>0.367041896666678</v>
      </c>
      <c r="N85" s="22" t="n">
        <f aca="false">L85+M85</f>
        <v>2.00593649666668</v>
      </c>
    </row>
    <row r="86" customFormat="false" ht="15" hidden="false" customHeight="false" outlineLevel="0" collapsed="false">
      <c r="A86" s="3" t="str">
        <f aca="false">'Daily Data'!A85</f>
        <v>Lamb Sekuwa</v>
      </c>
      <c r="B86" s="3" t="n">
        <f aca="false">'Daily Data'!B85</f>
        <v>3</v>
      </c>
      <c r="C86" s="3" t="n">
        <f aca="false">'Daily Data'!C85</f>
        <v>24</v>
      </c>
      <c r="D86" s="20" t="n">
        <f aca="false">'Daily Data'!G85*'Daily Data'!C85</f>
        <v>11.0256</v>
      </c>
      <c r="E86" s="20" t="n">
        <f aca="false">'Daily Data'!D85*'Daily Data'!C85</f>
        <v>10.8</v>
      </c>
      <c r="F86" s="20" t="n">
        <f aca="false">('Daily Data'!J85*'Daily Data'!C85)/60</f>
        <v>4.01128</v>
      </c>
      <c r="G86" s="20" t="n">
        <f aca="false">('Daily Data'!H85*'Daily Data'!C85)/60</f>
        <v>4</v>
      </c>
      <c r="H86" s="21" t="n">
        <f aca="false">('Daily Data'!F85-'Daily Data'!E85)*D86</f>
        <v>-1.46199456</v>
      </c>
      <c r="I86" s="21" t="n">
        <f aca="false">(D86-E86)*'Daily Data'!E85</f>
        <v>1.46639999999999</v>
      </c>
      <c r="J86" s="21" t="n">
        <f aca="false">('Daily Data'!K85-'Daily Data'!I85)*F86</f>
        <v>-0.261936584000002</v>
      </c>
      <c r="K86" s="21" t="n">
        <f aca="false">(F86-G86)*'Daily Data'!I85</f>
        <v>0.163560000000003</v>
      </c>
      <c r="L86" s="22" t="n">
        <f aca="false">H86+I86</f>
        <v>0.00440543999998821</v>
      </c>
      <c r="M86" s="22" t="n">
        <f aca="false">J86+K86</f>
        <v>-0.0983765839999998</v>
      </c>
      <c r="N86" s="22" t="n">
        <f aca="false">L86+M86</f>
        <v>-0.0939711440000116</v>
      </c>
    </row>
    <row r="87" customFormat="false" ht="15" hidden="false" customHeight="false" outlineLevel="0" collapsed="false">
      <c r="A87" s="3" t="str">
        <f aca="false">'Daily Data'!A86</f>
        <v>Lamb Sekuwa</v>
      </c>
      <c r="B87" s="3" t="n">
        <f aca="false">'Daily Data'!B86</f>
        <v>4</v>
      </c>
      <c r="C87" s="3" t="n">
        <f aca="false">'Daily Data'!C86</f>
        <v>32</v>
      </c>
      <c r="D87" s="20" t="n">
        <f aca="false">'Daily Data'!G86*'Daily Data'!C86</f>
        <v>14.6848</v>
      </c>
      <c r="E87" s="20" t="n">
        <f aca="false">'Daily Data'!D86*'Daily Data'!C86</f>
        <v>14.4</v>
      </c>
      <c r="F87" s="20" t="n">
        <f aca="false">('Daily Data'!J86*'Daily Data'!C86)/60</f>
        <v>5.37184</v>
      </c>
      <c r="G87" s="20" t="n">
        <f aca="false">('Daily Data'!H86*'Daily Data'!C86)/60</f>
        <v>5.33333333333333</v>
      </c>
      <c r="H87" s="21" t="n">
        <f aca="false">('Daily Data'!F86-'Daily Data'!E86)*D87</f>
        <v>-2.12635904</v>
      </c>
      <c r="I87" s="21" t="n">
        <f aca="false">(D87-E87)*'Daily Data'!E86</f>
        <v>1.85119999999999</v>
      </c>
      <c r="J87" s="21" t="n">
        <f aca="false">('Daily Data'!K86-'Daily Data'!I86)*F87</f>
        <v>0.400739264000001</v>
      </c>
      <c r="K87" s="21" t="n">
        <f aca="false">(F87-G87)*'Daily Data'!I86</f>
        <v>0.55834666666668</v>
      </c>
      <c r="L87" s="22" t="n">
        <f aca="false">H87+I87</f>
        <v>-0.275159040000008</v>
      </c>
      <c r="M87" s="22" t="n">
        <f aca="false">J87+K87</f>
        <v>0.959085930666681</v>
      </c>
      <c r="N87" s="22" t="n">
        <f aca="false">L87+M87</f>
        <v>0.683926890666673</v>
      </c>
    </row>
    <row r="88" customFormat="false" ht="15" hidden="false" customHeight="false" outlineLevel="0" collapsed="false">
      <c r="A88" s="3" t="str">
        <f aca="false">'Daily Data'!A87</f>
        <v>Lamb Sekuwa</v>
      </c>
      <c r="B88" s="3" t="n">
        <f aca="false">'Daily Data'!B87</f>
        <v>5</v>
      </c>
      <c r="C88" s="3" t="n">
        <f aca="false">'Daily Data'!C87</f>
        <v>32</v>
      </c>
      <c r="D88" s="20" t="n">
        <f aca="false">'Daily Data'!G87*'Daily Data'!C87</f>
        <v>14.3136</v>
      </c>
      <c r="E88" s="20" t="n">
        <f aca="false">'Daily Data'!D87*'Daily Data'!C87</f>
        <v>14.4</v>
      </c>
      <c r="F88" s="20" t="n">
        <f aca="false">('Daily Data'!J87*'Daily Data'!C87)/60</f>
        <v>5.74218666666667</v>
      </c>
      <c r="G88" s="20" t="n">
        <f aca="false">('Daily Data'!H87*'Daily Data'!C87)/60</f>
        <v>5.33333333333333</v>
      </c>
      <c r="H88" s="21" t="n">
        <f aca="false">('Daily Data'!F87-'Daily Data'!E87)*D88</f>
        <v>-2.09264832000001</v>
      </c>
      <c r="I88" s="21" t="n">
        <f aca="false">(D88-E88)*'Daily Data'!E87</f>
        <v>-0.561600000000007</v>
      </c>
      <c r="J88" s="21" t="n">
        <f aca="false">('Daily Data'!K87-'Daily Data'!I87)*F88</f>
        <v>0.276773397333331</v>
      </c>
      <c r="K88" s="21" t="n">
        <f aca="false">(F88-G88)*'Daily Data'!I87</f>
        <v>5.92837333333334</v>
      </c>
      <c r="L88" s="22" t="n">
        <f aca="false">H88+I88</f>
        <v>-2.65424832000001</v>
      </c>
      <c r="M88" s="22" t="n">
        <f aca="false">J88+K88</f>
        <v>6.20514673066667</v>
      </c>
      <c r="N88" s="22" t="n">
        <f aca="false">L88+M88</f>
        <v>3.55089841066666</v>
      </c>
    </row>
    <row r="89" customFormat="false" ht="15" hidden="false" customHeight="false" outlineLevel="0" collapsed="false">
      <c r="A89" s="3" t="str">
        <f aca="false">'Daily Data'!A88</f>
        <v>Lamb Sekuwa</v>
      </c>
      <c r="B89" s="3" t="n">
        <f aca="false">'Daily Data'!B88</f>
        <v>6</v>
      </c>
      <c r="C89" s="3" t="n">
        <f aca="false">'Daily Data'!C88</f>
        <v>27</v>
      </c>
      <c r="D89" s="20" t="n">
        <f aca="false">'Daily Data'!G88*'Daily Data'!C88</f>
        <v>12.501</v>
      </c>
      <c r="E89" s="20" t="n">
        <f aca="false">'Daily Data'!D88*'Daily Data'!C88</f>
        <v>12.15</v>
      </c>
      <c r="F89" s="20" t="n">
        <f aca="false">('Daily Data'!J88*'Daily Data'!C88)/60</f>
        <v>4.81842</v>
      </c>
      <c r="G89" s="20" t="n">
        <f aca="false">('Daily Data'!H88*'Daily Data'!C88)/60</f>
        <v>4.5</v>
      </c>
      <c r="H89" s="21" t="n">
        <f aca="false">('Daily Data'!F88-'Daily Data'!E88)*D89</f>
        <v>-0.958826699999997</v>
      </c>
      <c r="I89" s="21" t="n">
        <f aca="false">(D89-E89)*'Daily Data'!E88</f>
        <v>2.28150000000001</v>
      </c>
      <c r="J89" s="21" t="n">
        <f aca="false">('Daily Data'!K88-'Daily Data'!I88)*F89</f>
        <v>0.0472205160000012</v>
      </c>
      <c r="K89" s="21" t="n">
        <f aca="false">(F89-G89)*'Daily Data'!I88</f>
        <v>4.61709</v>
      </c>
      <c r="L89" s="22" t="n">
        <f aca="false">H89+I89</f>
        <v>1.32267330000001</v>
      </c>
      <c r="M89" s="22" t="n">
        <f aca="false">J89+K89</f>
        <v>4.664310516</v>
      </c>
      <c r="N89" s="22" t="n">
        <f aca="false">L89+M89</f>
        <v>5.98698381600001</v>
      </c>
    </row>
    <row r="90" customFormat="false" ht="15" hidden="false" customHeight="false" outlineLevel="0" collapsed="false">
      <c r="A90" s="3" t="str">
        <f aca="false">'Daily Data'!A89</f>
        <v>Lamb Sekuwa</v>
      </c>
      <c r="B90" s="3" t="n">
        <f aca="false">'Daily Data'!B89</f>
        <v>7</v>
      </c>
      <c r="C90" s="3" t="n">
        <f aca="false">'Daily Data'!C89</f>
        <v>37</v>
      </c>
      <c r="D90" s="20" t="n">
        <f aca="false">'Daily Data'!G89*'Daily Data'!C89</f>
        <v>17.0422</v>
      </c>
      <c r="E90" s="20" t="n">
        <f aca="false">'Daily Data'!D89*'Daily Data'!C89</f>
        <v>16.65</v>
      </c>
      <c r="F90" s="20" t="n">
        <f aca="false">('Daily Data'!J89*'Daily Data'!C89)/60</f>
        <v>6.52612166666667</v>
      </c>
      <c r="G90" s="20" t="n">
        <f aca="false">('Daily Data'!H89*'Daily Data'!C89)/60</f>
        <v>6.16666666666667</v>
      </c>
      <c r="H90" s="21" t="n">
        <f aca="false">('Daily Data'!F89-'Daily Data'!E89)*D90</f>
        <v>-1.21681307999999</v>
      </c>
      <c r="I90" s="21" t="n">
        <f aca="false">(D90-E90)*'Daily Data'!E89</f>
        <v>2.54929999999999</v>
      </c>
      <c r="J90" s="21" t="n">
        <f aca="false">('Daily Data'!K89-'Daily Data'!I89)*F90</f>
        <v>0.610844988000002</v>
      </c>
      <c r="K90" s="21" t="n">
        <f aca="false">(F90-G90)*'Daily Data'!I89</f>
        <v>5.2120975</v>
      </c>
      <c r="L90" s="22" t="n">
        <f aca="false">H90+I90</f>
        <v>1.33248692</v>
      </c>
      <c r="M90" s="22" t="n">
        <f aca="false">J90+K90</f>
        <v>5.822942488</v>
      </c>
      <c r="N90" s="22" t="n">
        <f aca="false">L90+M90</f>
        <v>7.155429408</v>
      </c>
    </row>
    <row r="91" customFormat="false" ht="15" hidden="false" customHeight="false" outlineLevel="0" collapsed="false">
      <c r="A91" s="3" t="str">
        <f aca="false">'Daily Data'!A90</f>
        <v>Lamb Sekuwa</v>
      </c>
      <c r="B91" s="3" t="n">
        <f aca="false">'Daily Data'!B90</f>
        <v>8</v>
      </c>
      <c r="C91" s="3" t="n">
        <f aca="false">'Daily Data'!C90</f>
        <v>34</v>
      </c>
      <c r="D91" s="20" t="n">
        <f aca="false">'Daily Data'!G90*'Daily Data'!C90</f>
        <v>15.9732</v>
      </c>
      <c r="E91" s="20" t="n">
        <f aca="false">'Daily Data'!D90*'Daily Data'!C90</f>
        <v>15.3</v>
      </c>
      <c r="F91" s="20" t="n">
        <f aca="false">('Daily Data'!J90*'Daily Data'!C90)/60</f>
        <v>6.02655666666667</v>
      </c>
      <c r="G91" s="20" t="n">
        <f aca="false">('Daily Data'!H90*'Daily Data'!C90)/60</f>
        <v>5.66666666666667</v>
      </c>
      <c r="H91" s="21" t="n">
        <f aca="false">('Daily Data'!F90-'Daily Data'!E90)*D91</f>
        <v>-2.26979172</v>
      </c>
      <c r="I91" s="21" t="n">
        <f aca="false">(D91-E91)*'Daily Data'!E90</f>
        <v>4.3758</v>
      </c>
      <c r="J91" s="21" t="n">
        <f aca="false">('Daily Data'!K90-'Daily Data'!I90)*F91</f>
        <v>-1.53677195</v>
      </c>
      <c r="K91" s="21" t="n">
        <f aca="false">(F91-G91)*'Daily Data'!I90</f>
        <v>5.21840499999999</v>
      </c>
      <c r="L91" s="22" t="n">
        <f aca="false">H91+I91</f>
        <v>2.10600828</v>
      </c>
      <c r="M91" s="22" t="n">
        <f aca="false">J91+K91</f>
        <v>3.68163304999998</v>
      </c>
      <c r="N91" s="22" t="n">
        <f aca="false">L91+M91</f>
        <v>5.78764132999998</v>
      </c>
    </row>
    <row r="92" customFormat="false" ht="15" hidden="false" customHeight="false" outlineLevel="0" collapsed="false">
      <c r="A92" s="3" t="str">
        <f aca="false">'Daily Data'!A91</f>
        <v>Lamb Sekuwa</v>
      </c>
      <c r="B92" s="3" t="n">
        <f aca="false">'Daily Data'!B91</f>
        <v>9</v>
      </c>
      <c r="C92" s="3" t="n">
        <f aca="false">'Daily Data'!C91</f>
        <v>25</v>
      </c>
      <c r="D92" s="20" t="n">
        <f aca="false">'Daily Data'!G91*'Daily Data'!C91</f>
        <v>11.5525</v>
      </c>
      <c r="E92" s="20" t="n">
        <f aca="false">'Daily Data'!D91*'Daily Data'!C91</f>
        <v>11.25</v>
      </c>
      <c r="F92" s="20" t="n">
        <f aca="false">('Daily Data'!J91*'Daily Data'!C91)/60</f>
        <v>4.34604166666667</v>
      </c>
      <c r="G92" s="20" t="n">
        <f aca="false">('Daily Data'!H91*'Daily Data'!C91)/60</f>
        <v>4.16666666666667</v>
      </c>
      <c r="H92" s="21" t="n">
        <f aca="false">('Daily Data'!F91-'Daily Data'!E91)*D92</f>
        <v>-1.963925</v>
      </c>
      <c r="I92" s="21" t="n">
        <f aca="false">(D92-E92)*'Daily Data'!E91</f>
        <v>1.96625</v>
      </c>
      <c r="J92" s="21" t="n">
        <f aca="false">('Daily Data'!K91-'Daily Data'!I91)*F92</f>
        <v>0.946567875000002</v>
      </c>
      <c r="K92" s="21" t="n">
        <f aca="false">(F92-G92)*'Daily Data'!I91</f>
        <v>2.60093749999999</v>
      </c>
      <c r="L92" s="22" t="n">
        <f aca="false">H92+I92</f>
        <v>0.00232500000000213</v>
      </c>
      <c r="M92" s="22" t="n">
        <f aca="false">J92+K92</f>
        <v>3.54750537499999</v>
      </c>
      <c r="N92" s="22" t="n">
        <f aca="false">L92+M92</f>
        <v>3.549830375</v>
      </c>
    </row>
    <row r="93" customFormat="false" ht="15" hidden="false" customHeight="false" outlineLevel="0" collapsed="false">
      <c r="A93" s="3" t="str">
        <f aca="false">'Daily Data'!A92</f>
        <v>Lamb Sekuwa</v>
      </c>
      <c r="B93" s="3" t="n">
        <f aca="false">'Daily Data'!B92</f>
        <v>10</v>
      </c>
      <c r="C93" s="3" t="n">
        <f aca="false">'Daily Data'!C92</f>
        <v>30</v>
      </c>
      <c r="D93" s="20" t="n">
        <f aca="false">'Daily Data'!G92*'Daily Data'!C92</f>
        <v>13.59</v>
      </c>
      <c r="E93" s="20" t="n">
        <f aca="false">'Daily Data'!D92*'Daily Data'!C92</f>
        <v>13.5</v>
      </c>
      <c r="F93" s="20" t="n">
        <f aca="false">('Daily Data'!J92*'Daily Data'!C92)/60</f>
        <v>4.489</v>
      </c>
      <c r="G93" s="20" t="n">
        <f aca="false">('Daily Data'!H92*'Daily Data'!C92)/60</f>
        <v>5</v>
      </c>
      <c r="H93" s="21" t="n">
        <f aca="false">('Daily Data'!F92-'Daily Data'!E92)*D93</f>
        <v>-1.015173</v>
      </c>
      <c r="I93" s="21" t="n">
        <f aca="false">(D93-E93)*'Daily Data'!E92</f>
        <v>0.584999999999999</v>
      </c>
      <c r="J93" s="21" t="n">
        <f aca="false">('Daily Data'!K92-'Daily Data'!I92)*F93</f>
        <v>-0.036360900000003</v>
      </c>
      <c r="K93" s="21" t="n">
        <f aca="false">(F93-G93)*'Daily Data'!I92</f>
        <v>-7.4095</v>
      </c>
      <c r="L93" s="22" t="n">
        <f aca="false">H93+I93</f>
        <v>-0.430173000000001</v>
      </c>
      <c r="M93" s="22" t="n">
        <f aca="false">J93+K93</f>
        <v>-7.4458609</v>
      </c>
      <c r="N93" s="22" t="n">
        <f aca="false">L93+M93</f>
        <v>-7.87603390000001</v>
      </c>
    </row>
    <row r="94" customFormat="false" ht="15" hidden="false" customHeight="false" outlineLevel="0" collapsed="false">
      <c r="A94" s="3" t="str">
        <f aca="false">'Daily Data'!A93</f>
        <v>Lamb Sekuwa</v>
      </c>
      <c r="B94" s="3" t="n">
        <f aca="false">'Daily Data'!B93</f>
        <v>11</v>
      </c>
      <c r="C94" s="3" t="n">
        <f aca="false">'Daily Data'!C93</f>
        <v>31</v>
      </c>
      <c r="D94" s="20" t="n">
        <f aca="false">'Daily Data'!G93*'Daily Data'!C93</f>
        <v>13.8787</v>
      </c>
      <c r="E94" s="20" t="n">
        <f aca="false">'Daily Data'!D93*'Daily Data'!C93</f>
        <v>13.95</v>
      </c>
      <c r="F94" s="20" t="n">
        <f aca="false">('Daily Data'!J93*'Daily Data'!C93)/60</f>
        <v>5.139025</v>
      </c>
      <c r="G94" s="20" t="n">
        <f aca="false">('Daily Data'!H93*'Daily Data'!C93)/60</f>
        <v>5.16666666666667</v>
      </c>
      <c r="H94" s="21" t="n">
        <f aca="false">('Daily Data'!F93-'Daily Data'!E93)*D94</f>
        <v>-1.63629873</v>
      </c>
      <c r="I94" s="21" t="n">
        <f aca="false">(D94-E94)*'Daily Data'!E93</f>
        <v>-0.463450000000005</v>
      </c>
      <c r="J94" s="21" t="n">
        <f aca="false">('Daily Data'!K93-'Daily Data'!I93)*F94</f>
        <v>-0.971789627499999</v>
      </c>
      <c r="K94" s="21" t="n">
        <f aca="false">(F94-G94)*'Daily Data'!I93</f>
        <v>-0.400804166666668</v>
      </c>
      <c r="L94" s="22" t="n">
        <f aca="false">H94+I94</f>
        <v>-2.09974873</v>
      </c>
      <c r="M94" s="22" t="n">
        <f aca="false">J94+K94</f>
        <v>-1.37259379416667</v>
      </c>
      <c r="N94" s="22" t="n">
        <f aca="false">L94+M94</f>
        <v>-3.47234252416667</v>
      </c>
    </row>
    <row r="95" customFormat="false" ht="15" hidden="false" customHeight="false" outlineLevel="0" collapsed="false">
      <c r="A95" s="3" t="str">
        <f aca="false">'Daily Data'!A94</f>
        <v>Lamb Sekuwa</v>
      </c>
      <c r="B95" s="3" t="n">
        <f aca="false">'Daily Data'!B94</f>
        <v>12</v>
      </c>
      <c r="C95" s="3" t="n">
        <f aca="false">'Daily Data'!C94</f>
        <v>32</v>
      </c>
      <c r="D95" s="20" t="n">
        <f aca="false">'Daily Data'!G94*'Daily Data'!C94</f>
        <v>14.6784</v>
      </c>
      <c r="E95" s="20" t="n">
        <f aca="false">'Daily Data'!D94*'Daily Data'!C94</f>
        <v>14.4</v>
      </c>
      <c r="F95" s="20" t="n">
        <f aca="false">('Daily Data'!J94*'Daily Data'!C94)/60</f>
        <v>5.16890666666667</v>
      </c>
      <c r="G95" s="20" t="n">
        <f aca="false">('Daily Data'!H94*'Daily Data'!C94)/60</f>
        <v>5.33333333333333</v>
      </c>
      <c r="H95" s="21" t="n">
        <f aca="false">('Daily Data'!F94-'Daily Data'!E94)*D95</f>
        <v>-1.577928</v>
      </c>
      <c r="I95" s="21" t="n">
        <f aca="false">(D95-E95)*'Daily Data'!E94</f>
        <v>1.8096</v>
      </c>
      <c r="J95" s="21" t="n">
        <f aca="false">('Daily Data'!K94-'Daily Data'!I94)*F95</f>
        <v>-0.793944064000005</v>
      </c>
      <c r="K95" s="21" t="n">
        <f aca="false">(F95-G95)*'Daily Data'!I94</f>
        <v>-2.38418666666665</v>
      </c>
      <c r="L95" s="22" t="n">
        <f aca="false">H95+I95</f>
        <v>0.231671999999998</v>
      </c>
      <c r="M95" s="22" t="n">
        <f aca="false">J95+K95</f>
        <v>-3.17813073066666</v>
      </c>
      <c r="N95" s="22" t="n">
        <f aca="false">L95+M95</f>
        <v>-2.94645873066666</v>
      </c>
    </row>
    <row r="96" customFormat="false" ht="15" hidden="false" customHeight="false" outlineLevel="0" collapsed="false">
      <c r="A96" s="3" t="str">
        <f aca="false">'Daily Data'!A95</f>
        <v>Lamb Sekuwa</v>
      </c>
      <c r="B96" s="3" t="n">
        <f aca="false">'Daily Data'!B95</f>
        <v>13</v>
      </c>
      <c r="C96" s="3" t="n">
        <f aca="false">'Daily Data'!C95</f>
        <v>29</v>
      </c>
      <c r="D96" s="20" t="n">
        <f aca="false">'Daily Data'!G95*'Daily Data'!C95</f>
        <v>13.3139</v>
      </c>
      <c r="E96" s="20" t="n">
        <f aca="false">'Daily Data'!D95*'Daily Data'!C95</f>
        <v>13.05</v>
      </c>
      <c r="F96" s="20" t="n">
        <f aca="false">('Daily Data'!J95*'Daily Data'!C95)/60</f>
        <v>4.97949333333333</v>
      </c>
      <c r="G96" s="20" t="n">
        <f aca="false">('Daily Data'!H95*'Daily Data'!C95)/60</f>
        <v>4.83333333333333</v>
      </c>
      <c r="H96" s="21" t="n">
        <f aca="false">('Daily Data'!F95-'Daily Data'!E95)*D96</f>
        <v>-1.22754158</v>
      </c>
      <c r="I96" s="21" t="n">
        <f aca="false">(D96-E96)*'Daily Data'!E95</f>
        <v>1.71535</v>
      </c>
      <c r="J96" s="21" t="n">
        <f aca="false">('Daily Data'!K95-'Daily Data'!I95)*F96</f>
        <v>-0.382923037333334</v>
      </c>
      <c r="K96" s="21" t="n">
        <f aca="false">(F96-G96)*'Daily Data'!I95</f>
        <v>2.11932000000001</v>
      </c>
      <c r="L96" s="22" t="n">
        <f aca="false">H96+I96</f>
        <v>0.487808419999996</v>
      </c>
      <c r="M96" s="22" t="n">
        <f aca="false">J96+K96</f>
        <v>1.73639696266668</v>
      </c>
      <c r="N96" s="22" t="n">
        <f aca="false">L96+M96</f>
        <v>2.22420538266668</v>
      </c>
    </row>
    <row r="97" customFormat="false" ht="15" hidden="false" customHeight="false" outlineLevel="0" collapsed="false">
      <c r="A97" s="3" t="str">
        <f aca="false">'Daily Data'!A96</f>
        <v>Lamb Sekuwa</v>
      </c>
      <c r="B97" s="3" t="n">
        <f aca="false">'Daily Data'!B96</f>
        <v>14</v>
      </c>
      <c r="C97" s="3" t="n">
        <f aca="false">'Daily Data'!C96</f>
        <v>27</v>
      </c>
      <c r="D97" s="20" t="n">
        <f aca="false">'Daily Data'!G96*'Daily Data'!C96</f>
        <v>12.4065</v>
      </c>
      <c r="E97" s="20" t="n">
        <f aca="false">'Daily Data'!D96*'Daily Data'!C96</f>
        <v>12.15</v>
      </c>
      <c r="F97" s="20" t="n">
        <f aca="false">('Daily Data'!J96*'Daily Data'!C96)/60</f>
        <v>4.35051</v>
      </c>
      <c r="G97" s="20" t="n">
        <f aca="false">('Daily Data'!H96*'Daily Data'!C96)/60</f>
        <v>4.5</v>
      </c>
      <c r="H97" s="21" t="n">
        <f aca="false">('Daily Data'!F96-'Daily Data'!E96)*D97</f>
        <v>-1.4862987</v>
      </c>
      <c r="I97" s="21" t="n">
        <f aca="false">(D97-E97)*'Daily Data'!E96</f>
        <v>1.66725000000001</v>
      </c>
      <c r="J97" s="21" t="n">
        <f aca="false">('Daily Data'!K96-'Daily Data'!I96)*F97</f>
        <v>-0.755683587000001</v>
      </c>
      <c r="K97" s="21" t="n">
        <f aca="false">(F97-G97)*'Daily Data'!I96</f>
        <v>-2.167605</v>
      </c>
      <c r="L97" s="22" t="n">
        <f aca="false">H97+I97</f>
        <v>0.180951300000009</v>
      </c>
      <c r="M97" s="22" t="n">
        <f aca="false">J97+K97</f>
        <v>-2.923288587</v>
      </c>
      <c r="N97" s="22" t="n">
        <f aca="false">L97+M97</f>
        <v>-2.74233728699999</v>
      </c>
    </row>
    <row r="98" customFormat="false" ht="15" hidden="false" customHeight="false" outlineLevel="0" collapsed="false">
      <c r="A98" s="3" t="str">
        <f aca="false">'Daily Data'!A97</f>
        <v>Lamb Sekuwa</v>
      </c>
      <c r="B98" s="3" t="n">
        <f aca="false">'Daily Data'!B97</f>
        <v>15</v>
      </c>
      <c r="C98" s="3" t="n">
        <f aca="false">'Daily Data'!C97</f>
        <v>37</v>
      </c>
      <c r="D98" s="20" t="n">
        <f aca="false">'Daily Data'!G97*'Daily Data'!C97</f>
        <v>17.1458</v>
      </c>
      <c r="E98" s="20" t="n">
        <f aca="false">'Daily Data'!D97*'Daily Data'!C97</f>
        <v>16.65</v>
      </c>
      <c r="F98" s="20" t="n">
        <f aca="false">('Daily Data'!J97*'Daily Data'!C97)/60</f>
        <v>6.24584666666667</v>
      </c>
      <c r="G98" s="20" t="n">
        <f aca="false">('Daily Data'!H97*'Daily Data'!C97)/60</f>
        <v>6.16666666666667</v>
      </c>
      <c r="H98" s="21" t="n">
        <f aca="false">('Daily Data'!F97-'Daily Data'!E97)*D98</f>
        <v>-1.99062738000001</v>
      </c>
      <c r="I98" s="21" t="n">
        <f aca="false">(D98-E98)*'Daily Data'!E97</f>
        <v>3.22269999999997</v>
      </c>
      <c r="J98" s="21" t="n">
        <f aca="false">('Daily Data'!K97-'Daily Data'!I97)*F98</f>
        <v>-0.101807300666662</v>
      </c>
      <c r="K98" s="21" t="n">
        <f aca="false">(F98-G98)*'Daily Data'!I97</f>
        <v>1.14810999999999</v>
      </c>
      <c r="L98" s="22" t="n">
        <f aca="false">H98+I98</f>
        <v>1.23207261999997</v>
      </c>
      <c r="M98" s="22" t="n">
        <f aca="false">J98+K98</f>
        <v>1.04630269933333</v>
      </c>
      <c r="N98" s="22" t="n">
        <f aca="false">L98+M98</f>
        <v>2.27837531933329</v>
      </c>
    </row>
    <row r="99" customFormat="false" ht="15" hidden="false" customHeight="false" outlineLevel="0" collapsed="false">
      <c r="A99" s="3" t="str">
        <f aca="false">'Daily Data'!A98</f>
        <v>Lamb Sekuwa</v>
      </c>
      <c r="B99" s="3" t="n">
        <f aca="false">'Daily Data'!B98</f>
        <v>16</v>
      </c>
      <c r="C99" s="3" t="n">
        <f aca="false">'Daily Data'!C98</f>
        <v>29</v>
      </c>
      <c r="D99" s="20" t="n">
        <f aca="false">'Daily Data'!G98*'Daily Data'!C98</f>
        <v>13.8446</v>
      </c>
      <c r="E99" s="20" t="n">
        <f aca="false">'Daily Data'!D98*'Daily Data'!C98</f>
        <v>13.05</v>
      </c>
      <c r="F99" s="20" t="n">
        <f aca="false">('Daily Data'!J98*'Daily Data'!C98)/60</f>
        <v>4.67948833333333</v>
      </c>
      <c r="G99" s="20" t="n">
        <f aca="false">('Daily Data'!H98*'Daily Data'!C98)/60</f>
        <v>4.83333333333333</v>
      </c>
      <c r="H99" s="21" t="n">
        <f aca="false">('Daily Data'!F98-'Daily Data'!E98)*D99</f>
        <v>-1.3983046</v>
      </c>
      <c r="I99" s="21" t="n">
        <f aca="false">(D99-E99)*'Daily Data'!E98</f>
        <v>5.16489999999999</v>
      </c>
      <c r="J99" s="21" t="n">
        <f aca="false">('Daily Data'!K98-'Daily Data'!I98)*F99</f>
        <v>-0.390737275833337</v>
      </c>
      <c r="K99" s="21" t="n">
        <f aca="false">(F99-G99)*'Daily Data'!I98</f>
        <v>-2.23075249999999</v>
      </c>
      <c r="L99" s="22" t="n">
        <f aca="false">H99+I99</f>
        <v>3.76659539999999</v>
      </c>
      <c r="M99" s="22" t="n">
        <f aca="false">J99+K99</f>
        <v>-2.62148977583333</v>
      </c>
      <c r="N99" s="22" t="n">
        <f aca="false">L99+M99</f>
        <v>1.14510562416666</v>
      </c>
    </row>
    <row r="100" customFormat="false" ht="15" hidden="false" customHeight="false" outlineLevel="0" collapsed="false">
      <c r="A100" s="3" t="str">
        <f aca="false">'Daily Data'!A99</f>
        <v>Lamb Sekuwa</v>
      </c>
      <c r="B100" s="3" t="n">
        <f aca="false">'Daily Data'!B99</f>
        <v>17</v>
      </c>
      <c r="C100" s="3" t="n">
        <f aca="false">'Daily Data'!C99</f>
        <v>29</v>
      </c>
      <c r="D100" s="20" t="n">
        <f aca="false">'Daily Data'!G99*'Daily Data'!C99</f>
        <v>13.2762</v>
      </c>
      <c r="E100" s="20" t="n">
        <f aca="false">'Daily Data'!D99*'Daily Data'!C99</f>
        <v>13.05</v>
      </c>
      <c r="F100" s="20" t="n">
        <f aca="false">('Daily Data'!J99*'Daily Data'!C99)/60</f>
        <v>5.229715</v>
      </c>
      <c r="G100" s="20" t="n">
        <f aca="false">('Daily Data'!H99*'Daily Data'!C99)/60</f>
        <v>4.83333333333333</v>
      </c>
      <c r="H100" s="21" t="n">
        <f aca="false">('Daily Data'!F99-'Daily Data'!E99)*D100</f>
        <v>-2.34723216</v>
      </c>
      <c r="I100" s="21" t="n">
        <f aca="false">(D100-E100)*'Daily Data'!E99</f>
        <v>1.47029999999999</v>
      </c>
      <c r="J100" s="21" t="n">
        <f aca="false">('Daily Data'!K99-'Daily Data'!I99)*F100</f>
        <v>1.2472870275</v>
      </c>
      <c r="K100" s="21" t="n">
        <f aca="false">(F100-G100)*'Daily Data'!I99</f>
        <v>5.74753416666667</v>
      </c>
      <c r="L100" s="22" t="n">
        <f aca="false">H100+I100</f>
        <v>-0.87693216000001</v>
      </c>
      <c r="M100" s="22" t="n">
        <f aca="false">J100+K100</f>
        <v>6.99482119416667</v>
      </c>
      <c r="N100" s="22" t="n">
        <f aca="false">L100+M100</f>
        <v>6.11788903416666</v>
      </c>
    </row>
    <row r="101" customFormat="false" ht="15" hidden="false" customHeight="false" outlineLevel="0" collapsed="false">
      <c r="A101" s="3" t="str">
        <f aca="false">'Daily Data'!A100</f>
        <v>Lamb Sekuwa</v>
      </c>
      <c r="B101" s="3" t="n">
        <f aca="false">'Daily Data'!B100</f>
        <v>18</v>
      </c>
      <c r="C101" s="3" t="n">
        <f aca="false">'Daily Data'!C100</f>
        <v>29</v>
      </c>
      <c r="D101" s="20" t="n">
        <f aca="false">'Daily Data'!G100*'Daily Data'!C100</f>
        <v>13.7779</v>
      </c>
      <c r="E101" s="20" t="n">
        <f aca="false">'Daily Data'!D100*'Daily Data'!C100</f>
        <v>13.05</v>
      </c>
      <c r="F101" s="20" t="n">
        <f aca="false">('Daily Data'!J100*'Daily Data'!C100)/60</f>
        <v>5.726195</v>
      </c>
      <c r="G101" s="20" t="n">
        <f aca="false">('Daily Data'!H100*'Daily Data'!C100)/60</f>
        <v>4.83333333333333</v>
      </c>
      <c r="H101" s="21" t="n">
        <f aca="false">('Daily Data'!F100-'Daily Data'!E100)*D101</f>
        <v>-1.4053458</v>
      </c>
      <c r="I101" s="21" t="n">
        <f aca="false">(D101-E101)*'Daily Data'!E100</f>
        <v>4.73135</v>
      </c>
      <c r="J101" s="21" t="n">
        <f aca="false">('Daily Data'!K100-'Daily Data'!I100)*F101</f>
        <v>0.929361448500001</v>
      </c>
      <c r="K101" s="21" t="n">
        <f aca="false">(F101-G101)*'Daily Data'!I100</f>
        <v>12.9464941666667</v>
      </c>
      <c r="L101" s="22" t="n">
        <f aca="false">H101+I101</f>
        <v>3.3260042</v>
      </c>
      <c r="M101" s="22" t="n">
        <f aca="false">J101+K101</f>
        <v>13.8758556151667</v>
      </c>
      <c r="N101" s="22" t="n">
        <f aca="false">L101+M101</f>
        <v>17.2018598151667</v>
      </c>
    </row>
    <row r="102" customFormat="false" ht="15" hidden="false" customHeight="false" outlineLevel="0" collapsed="false">
      <c r="A102" s="3" t="str">
        <f aca="false">'Daily Data'!A101</f>
        <v>Lamb Sekuwa</v>
      </c>
      <c r="B102" s="3" t="n">
        <f aca="false">'Daily Data'!B101</f>
        <v>19</v>
      </c>
      <c r="C102" s="3" t="n">
        <f aca="false">'Daily Data'!C101</f>
        <v>29</v>
      </c>
      <c r="D102" s="20" t="n">
        <f aca="false">'Daily Data'!G101*'Daily Data'!C101</f>
        <v>13.3023</v>
      </c>
      <c r="E102" s="20" t="n">
        <f aca="false">'Daily Data'!D101*'Daily Data'!C101</f>
        <v>13.05</v>
      </c>
      <c r="F102" s="20" t="n">
        <f aca="false">('Daily Data'!J101*'Daily Data'!C101)/60</f>
        <v>4.89234833333333</v>
      </c>
      <c r="G102" s="20" t="n">
        <f aca="false">('Daily Data'!H101*'Daily Data'!C101)/60</f>
        <v>4.83333333333333</v>
      </c>
      <c r="H102" s="21" t="n">
        <f aca="false">('Daily Data'!F101-'Daily Data'!E101)*D102</f>
        <v>-1.88626614</v>
      </c>
      <c r="I102" s="21" t="n">
        <f aca="false">(D102-E102)*'Daily Data'!E101</f>
        <v>1.63995</v>
      </c>
      <c r="J102" s="21" t="n">
        <f aca="false">('Daily Data'!K101-'Daily Data'!I101)*F102</f>
        <v>-0.536690612166667</v>
      </c>
      <c r="K102" s="21" t="n">
        <f aca="false">(F102-G102)*'Daily Data'!I101</f>
        <v>0.855717499999994</v>
      </c>
      <c r="L102" s="22" t="n">
        <f aca="false">H102+I102</f>
        <v>-0.246316139999999</v>
      </c>
      <c r="M102" s="22" t="n">
        <f aca="false">J102+K102</f>
        <v>0.319026887833327</v>
      </c>
      <c r="N102" s="22" t="n">
        <f aca="false">L102+M102</f>
        <v>0.0727107478333275</v>
      </c>
    </row>
    <row r="103" customFormat="false" ht="15" hidden="false" customHeight="false" outlineLevel="0" collapsed="false">
      <c r="A103" s="3" t="str">
        <f aca="false">'Daily Data'!A102</f>
        <v>Lamb Sekuwa</v>
      </c>
      <c r="B103" s="3" t="n">
        <f aca="false">'Daily Data'!B102</f>
        <v>20</v>
      </c>
      <c r="C103" s="3" t="n">
        <f aca="false">'Daily Data'!C102</f>
        <v>24</v>
      </c>
      <c r="D103" s="20" t="n">
        <f aca="false">'Daily Data'!G102*'Daily Data'!C102</f>
        <v>11.1432</v>
      </c>
      <c r="E103" s="20" t="n">
        <f aca="false">'Daily Data'!D102*'Daily Data'!C102</f>
        <v>10.8</v>
      </c>
      <c r="F103" s="20" t="n">
        <f aca="false">('Daily Data'!J102*'Daily Data'!C102)/60</f>
        <v>4.40492</v>
      </c>
      <c r="G103" s="20" t="n">
        <f aca="false">('Daily Data'!H102*'Daily Data'!C102)/60</f>
        <v>4</v>
      </c>
      <c r="H103" s="21" t="n">
        <f aca="false">('Daily Data'!F102-'Daily Data'!E102)*D103</f>
        <v>-1.49096016</v>
      </c>
      <c r="I103" s="21" t="n">
        <f aca="false">(D103-E103)*'Daily Data'!E102</f>
        <v>2.2308</v>
      </c>
      <c r="J103" s="21" t="n">
        <f aca="false">('Daily Data'!K102-'Daily Data'!I102)*F103</f>
        <v>0.562948776000003</v>
      </c>
      <c r="K103" s="21" t="n">
        <f aca="false">(F103-G103)*'Daily Data'!I102</f>
        <v>5.87134000000001</v>
      </c>
      <c r="L103" s="22" t="n">
        <f aca="false">H103+I103</f>
        <v>0.739839839999998</v>
      </c>
      <c r="M103" s="22" t="n">
        <f aca="false">J103+K103</f>
        <v>6.43428877600001</v>
      </c>
      <c r="N103" s="22" t="n">
        <f aca="false">L103+M103</f>
        <v>7.17412861600001</v>
      </c>
    </row>
    <row r="104" customFormat="false" ht="15" hidden="false" customHeight="false" outlineLevel="0" collapsed="false">
      <c r="A104" s="3" t="str">
        <f aca="false">'Daily Data'!A103</f>
        <v>Lamb Sekuwa</v>
      </c>
      <c r="B104" s="3" t="n">
        <f aca="false">'Daily Data'!B103</f>
        <v>21</v>
      </c>
      <c r="C104" s="3" t="n">
        <f aca="false">'Daily Data'!C103</f>
        <v>29</v>
      </c>
      <c r="D104" s="20" t="n">
        <f aca="false">'Daily Data'!G103*'Daily Data'!C103</f>
        <v>13.7924</v>
      </c>
      <c r="E104" s="20" t="n">
        <f aca="false">'Daily Data'!D103*'Daily Data'!C103</f>
        <v>13.05</v>
      </c>
      <c r="F104" s="20" t="n">
        <f aca="false">('Daily Data'!J103*'Daily Data'!C103)/60</f>
        <v>4.58354666666667</v>
      </c>
      <c r="G104" s="20" t="n">
        <f aca="false">('Daily Data'!H103*'Daily Data'!C103)/60</f>
        <v>4.83333333333333</v>
      </c>
      <c r="H104" s="21" t="n">
        <f aca="false">('Daily Data'!F103-'Daily Data'!E103)*D104</f>
        <v>-1.0827034</v>
      </c>
      <c r="I104" s="21" t="n">
        <f aca="false">(D104-E104)*'Daily Data'!E103</f>
        <v>4.8256</v>
      </c>
      <c r="J104" s="21" t="n">
        <f aca="false">('Daily Data'!K103-'Daily Data'!I103)*F104</f>
        <v>1.01250545866667</v>
      </c>
      <c r="K104" s="21" t="n">
        <f aca="false">(F104-G104)*'Daily Data'!I103</f>
        <v>-3.62190666666666</v>
      </c>
      <c r="L104" s="22" t="n">
        <f aca="false">H104+I104</f>
        <v>3.7428966</v>
      </c>
      <c r="M104" s="22" t="n">
        <f aca="false">J104+K104</f>
        <v>-2.60940120799999</v>
      </c>
      <c r="N104" s="22" t="n">
        <f aca="false">L104+M104</f>
        <v>1.13349539200001</v>
      </c>
    </row>
    <row r="105" customFormat="false" ht="15" hidden="false" customHeight="false" outlineLevel="0" collapsed="false">
      <c r="A105" s="3" t="str">
        <f aca="false">'Daily Data'!A104</f>
        <v>Lamb Sekuwa</v>
      </c>
      <c r="B105" s="3" t="n">
        <f aca="false">'Daily Data'!B104</f>
        <v>22</v>
      </c>
      <c r="C105" s="3" t="n">
        <f aca="false">'Daily Data'!C104</f>
        <v>31</v>
      </c>
      <c r="D105" s="20" t="n">
        <f aca="false">'Daily Data'!G104*'Daily Data'!C104</f>
        <v>14.6971</v>
      </c>
      <c r="E105" s="20" t="n">
        <f aca="false">'Daily Data'!D104*'Daily Data'!C104</f>
        <v>13.95</v>
      </c>
      <c r="F105" s="20" t="n">
        <f aca="false">('Daily Data'!J104*'Daily Data'!C104)/60</f>
        <v>4.89521</v>
      </c>
      <c r="G105" s="20" t="n">
        <f aca="false">('Daily Data'!H104*'Daily Data'!C104)/60</f>
        <v>5.16666666666667</v>
      </c>
      <c r="H105" s="21" t="n">
        <f aca="false">('Daily Data'!F104-'Daily Data'!E104)*D105</f>
        <v>-2.1163824</v>
      </c>
      <c r="I105" s="21" t="n">
        <f aca="false">(D105-E105)*'Daily Data'!E104</f>
        <v>4.85615</v>
      </c>
      <c r="J105" s="21" t="n">
        <f aca="false">('Daily Data'!K104-'Daily Data'!I104)*F105</f>
        <v>-0.981489605</v>
      </c>
      <c r="K105" s="21" t="n">
        <f aca="false">(F105-G105)*'Daily Data'!I104</f>
        <v>-3.93612166666666</v>
      </c>
      <c r="L105" s="22" t="n">
        <f aca="false">H105+I105</f>
        <v>2.7397676</v>
      </c>
      <c r="M105" s="22" t="n">
        <f aca="false">J105+K105</f>
        <v>-4.91761127166666</v>
      </c>
      <c r="N105" s="22" t="n">
        <f aca="false">L105+M105</f>
        <v>-2.17784367166667</v>
      </c>
    </row>
    <row r="106" customFormat="false" ht="15" hidden="false" customHeight="false" outlineLevel="0" collapsed="false">
      <c r="A106" s="3" t="str">
        <f aca="false">'Daily Data'!A105</f>
        <v>Lamb Sekuwa</v>
      </c>
      <c r="B106" s="3" t="n">
        <f aca="false">'Daily Data'!B105</f>
        <v>23</v>
      </c>
      <c r="C106" s="3" t="n">
        <f aca="false">'Daily Data'!C105</f>
        <v>33</v>
      </c>
      <c r="D106" s="20" t="n">
        <f aca="false">'Daily Data'!G105*'Daily Data'!C105</f>
        <v>15.3153</v>
      </c>
      <c r="E106" s="20" t="n">
        <f aca="false">'Daily Data'!D105*'Daily Data'!C105</f>
        <v>14.85</v>
      </c>
      <c r="F106" s="20" t="n">
        <f aca="false">('Daily Data'!J105*'Daily Data'!C105)/60</f>
        <v>5.68579</v>
      </c>
      <c r="G106" s="20" t="n">
        <f aca="false">('Daily Data'!H105*'Daily Data'!C105)/60</f>
        <v>5.5</v>
      </c>
      <c r="H106" s="21" t="n">
        <f aca="false">('Daily Data'!F105-'Daily Data'!E105)*D106</f>
        <v>-1.03225122</v>
      </c>
      <c r="I106" s="21" t="n">
        <f aca="false">(D106-E106)*'Daily Data'!E105</f>
        <v>3.02445000000001</v>
      </c>
      <c r="J106" s="21" t="n">
        <f aca="false">('Daily Data'!K105-'Daily Data'!I105)*F106</f>
        <v>-0.536169997000003</v>
      </c>
      <c r="K106" s="21" t="n">
        <f aca="false">(F106-G106)*'Daily Data'!I105</f>
        <v>2.693955</v>
      </c>
      <c r="L106" s="22" t="n">
        <f aca="false">H106+I106</f>
        <v>1.99219878</v>
      </c>
      <c r="M106" s="22" t="n">
        <f aca="false">J106+K106</f>
        <v>2.157785003</v>
      </c>
      <c r="N106" s="22" t="n">
        <f aca="false">L106+M106</f>
        <v>4.149983783</v>
      </c>
    </row>
    <row r="107" customFormat="false" ht="15" hidden="false" customHeight="false" outlineLevel="0" collapsed="false">
      <c r="A107" s="3" t="str">
        <f aca="false">'Daily Data'!A106</f>
        <v>Lamb Sekuwa</v>
      </c>
      <c r="B107" s="3" t="n">
        <f aca="false">'Daily Data'!B106</f>
        <v>24</v>
      </c>
      <c r="C107" s="3" t="n">
        <f aca="false">'Daily Data'!C106</f>
        <v>28</v>
      </c>
      <c r="D107" s="20" t="n">
        <f aca="false">'Daily Data'!G106*'Daily Data'!C106</f>
        <v>13.1516</v>
      </c>
      <c r="E107" s="20" t="n">
        <f aca="false">'Daily Data'!D106*'Daily Data'!C106</f>
        <v>12.6</v>
      </c>
      <c r="F107" s="20" t="n">
        <f aca="false">('Daily Data'!J106*'Daily Data'!C106)/60</f>
        <v>4.68024666666667</v>
      </c>
      <c r="G107" s="20" t="n">
        <f aca="false">('Daily Data'!H106*'Daily Data'!C106)/60</f>
        <v>4.66666666666667</v>
      </c>
      <c r="H107" s="21" t="n">
        <f aca="false">('Daily Data'!F106-'Daily Data'!E106)*D107</f>
        <v>-1.74127184</v>
      </c>
      <c r="I107" s="21" t="n">
        <f aca="false">(D107-E107)*'Daily Data'!E106</f>
        <v>3.5854</v>
      </c>
      <c r="J107" s="21" t="n">
        <f aca="false">('Daily Data'!K106-'Daily Data'!I106)*F107</f>
        <v>-0.563969723333333</v>
      </c>
      <c r="K107" s="21" t="n">
        <f aca="false">(F107-G107)*'Daily Data'!I106</f>
        <v>0.196909999999989</v>
      </c>
      <c r="L107" s="22" t="n">
        <f aca="false">H107+I107</f>
        <v>1.84412816000001</v>
      </c>
      <c r="M107" s="22" t="n">
        <f aca="false">J107+K107</f>
        <v>-0.367059723333343</v>
      </c>
      <c r="N107" s="22" t="n">
        <f aca="false">L107+M107</f>
        <v>1.47706843666667</v>
      </c>
    </row>
    <row r="108" customFormat="false" ht="15" hidden="false" customHeight="false" outlineLevel="0" collapsed="false">
      <c r="A108" s="3" t="str">
        <f aca="false">'Daily Data'!A107</f>
        <v>Lamb Sekuwa</v>
      </c>
      <c r="B108" s="3" t="n">
        <f aca="false">'Daily Data'!B107</f>
        <v>25</v>
      </c>
      <c r="C108" s="3" t="n">
        <f aca="false">'Daily Data'!C107</f>
        <v>30</v>
      </c>
      <c r="D108" s="20" t="n">
        <f aca="false">'Daily Data'!G107*'Daily Data'!C107</f>
        <v>14.286</v>
      </c>
      <c r="E108" s="20" t="n">
        <f aca="false">'Daily Data'!D107*'Daily Data'!C107</f>
        <v>13.5</v>
      </c>
      <c r="F108" s="20" t="n">
        <f aca="false">('Daily Data'!J107*'Daily Data'!C107)/60</f>
        <v>4.72775</v>
      </c>
      <c r="G108" s="20" t="n">
        <f aca="false">('Daily Data'!H107*'Daily Data'!C107)/60</f>
        <v>5</v>
      </c>
      <c r="H108" s="21" t="n">
        <f aca="false">('Daily Data'!F107-'Daily Data'!E107)*D108</f>
        <v>-1.69003379999999</v>
      </c>
      <c r="I108" s="21" t="n">
        <f aca="false">(D108-E108)*'Daily Data'!E107</f>
        <v>5.109</v>
      </c>
      <c r="J108" s="21" t="n">
        <f aca="false">('Daily Data'!K107-'Daily Data'!I107)*F108</f>
        <v>-0.395239900000003</v>
      </c>
      <c r="K108" s="21" t="n">
        <f aca="false">(F108-G108)*'Daily Data'!I107</f>
        <v>-3.947625</v>
      </c>
      <c r="L108" s="22" t="n">
        <f aca="false">H108+I108</f>
        <v>3.4189662</v>
      </c>
      <c r="M108" s="22" t="n">
        <f aca="false">J108+K108</f>
        <v>-4.3428649</v>
      </c>
      <c r="N108" s="22" t="n">
        <f aca="false">L108+M108</f>
        <v>-0.923898699999995</v>
      </c>
    </row>
    <row r="109" customFormat="false" ht="15" hidden="false" customHeight="false" outlineLevel="0" collapsed="false">
      <c r="A109" s="3" t="str">
        <f aca="false">'Daily Data'!A108</f>
        <v>Lamb Sekuwa</v>
      </c>
      <c r="B109" s="3" t="n">
        <f aca="false">'Daily Data'!B108</f>
        <v>26</v>
      </c>
      <c r="C109" s="3" t="n">
        <f aca="false">'Daily Data'!C108</f>
        <v>32</v>
      </c>
      <c r="D109" s="20" t="n">
        <f aca="false">'Daily Data'!G108*'Daily Data'!C108</f>
        <v>15.056</v>
      </c>
      <c r="E109" s="20" t="n">
        <f aca="false">'Daily Data'!D108*'Daily Data'!C108</f>
        <v>14.4</v>
      </c>
      <c r="F109" s="20" t="n">
        <f aca="false">('Daily Data'!J108*'Daily Data'!C108)/60</f>
        <v>5.36512</v>
      </c>
      <c r="G109" s="20" t="n">
        <f aca="false">('Daily Data'!H108*'Daily Data'!C108)/60</f>
        <v>5.33333333333333</v>
      </c>
      <c r="H109" s="21" t="n">
        <f aca="false">('Daily Data'!F108-'Daily Data'!E108)*D109</f>
        <v>-1.565824</v>
      </c>
      <c r="I109" s="21" t="n">
        <f aca="false">(D109-E109)*'Daily Data'!E108</f>
        <v>4.26399999999999</v>
      </c>
      <c r="J109" s="21" t="n">
        <f aca="false">('Daily Data'!K108-'Daily Data'!I108)*F109</f>
        <v>0.58479808</v>
      </c>
      <c r="K109" s="21" t="n">
        <f aca="false">(F109-G109)*'Daily Data'!I108</f>
        <v>0.460906666666673</v>
      </c>
      <c r="L109" s="22" t="n">
        <f aca="false">H109+I109</f>
        <v>2.69817599999999</v>
      </c>
      <c r="M109" s="22" t="n">
        <f aca="false">J109+K109</f>
        <v>1.04570474666667</v>
      </c>
      <c r="N109" s="22" t="n">
        <f aca="false">L109+M109</f>
        <v>3.74388074666666</v>
      </c>
    </row>
  </sheetData>
  <conditionalFormatting sqref="H6:H10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I6:I109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J6:J109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K6:K109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L6:L109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M6:M109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N6:N109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9" min="3" style="0" width="16"/>
  </cols>
  <sheetData>
    <row r="2" customFormat="false" ht="17.35" hidden="false" customHeight="false" outlineLevel="0" collapsed="false">
      <c r="B2" s="9" t="s">
        <v>55</v>
      </c>
    </row>
    <row r="3" customFormat="false" ht="15" hidden="false" customHeight="false" outlineLevel="0" collapsed="false">
      <c r="B3" s="16" t="s">
        <v>56</v>
      </c>
    </row>
    <row r="5" customFormat="false" ht="39.55" hidden="false" customHeight="false" outlineLevel="0" collapsed="false">
      <c r="B5" s="10" t="s">
        <v>17</v>
      </c>
      <c r="C5" s="10" t="s">
        <v>48</v>
      </c>
      <c r="D5" s="10" t="s">
        <v>49</v>
      </c>
      <c r="E5" s="10" t="s">
        <v>50</v>
      </c>
      <c r="F5" s="10" t="s">
        <v>51</v>
      </c>
      <c r="G5" s="10" t="s">
        <v>57</v>
      </c>
      <c r="H5" s="10" t="s">
        <v>52</v>
      </c>
      <c r="I5" s="10" t="s">
        <v>53</v>
      </c>
      <c r="J5" s="10" t="s">
        <v>54</v>
      </c>
    </row>
    <row r="6" customFormat="false" ht="15" hidden="false" customHeight="false" outlineLevel="0" collapsed="false">
      <c r="B6" s="23" t="s">
        <v>25</v>
      </c>
      <c r="C6" s="14" t="n">
        <f aca="false">SUMIF('Variance Calcs'!$A$6:$A$109,B6,'Variance Calcs'!$H$6:$H$109)</f>
        <v>-65.9499776999999</v>
      </c>
      <c r="D6" s="14" t="n">
        <f aca="false">SUMIF('Variance Calcs'!$A$6:$A$109,B6,'Variance Calcs'!$I$6:$I$109)</f>
        <v>122.7495</v>
      </c>
      <c r="E6" s="14" t="n">
        <f aca="false">SUMIF('Variance Calcs'!$A$6:$A$109,B6,'Variance Calcs'!$J$6:$J$109)</f>
        <v>-9.49339298649997</v>
      </c>
      <c r="F6" s="14" t="n">
        <f aca="false">SUMIF('Variance Calcs'!$A$6:$A$109,B6,'Variance Calcs'!$K$6:$K$109)</f>
        <v>-361.1150325</v>
      </c>
      <c r="G6" s="24" t="n">
        <f aca="false">SUMIF('Daily Data'!$A$5:$A$108,B6,'Daily Data'!$C$5:$C$108)</f>
        <v>2204</v>
      </c>
      <c r="H6" s="15" t="n">
        <f aca="false">C6+D6</f>
        <v>56.7995223000003</v>
      </c>
      <c r="I6" s="15" t="n">
        <f aca="false">E6+F6</f>
        <v>-370.6084254865</v>
      </c>
    </row>
    <row r="7" customFormat="false" ht="15" hidden="false" customHeight="false" outlineLevel="0" collapsed="false">
      <c r="B7" s="23" t="s">
        <v>26</v>
      </c>
      <c r="C7" s="14" t="n">
        <f aca="false">SUMIF('Variance Calcs'!$A$6:$A$109,B7,'Variance Calcs'!$H$6:$H$109)</f>
        <v>-24.5472033100001</v>
      </c>
      <c r="D7" s="14" t="n">
        <f aca="false">SUMIF('Variance Calcs'!$A$6:$A$109,B7,'Variance Calcs'!$I$6:$I$109)</f>
        <v>55.63572</v>
      </c>
      <c r="E7" s="14" t="n">
        <f aca="false">SUMIF('Variance Calcs'!$A$6:$A$109,B7,'Variance Calcs'!$J$6:$J$109)</f>
        <v>2.003397432</v>
      </c>
      <c r="F7" s="14" t="n">
        <f aca="false">SUMIF('Variance Calcs'!$A$6:$A$109,B7,'Variance Calcs'!$K$6:$K$109)</f>
        <v>0.347107500000029</v>
      </c>
      <c r="G7" s="24" t="n">
        <f aca="false">SUMIF('Daily Data'!$A$5:$A$108,B7,'Daily Data'!$C$5:$C$108)</f>
        <v>1038</v>
      </c>
      <c r="H7" s="15" t="n">
        <f aca="false">C7+D7</f>
        <v>31.08851669</v>
      </c>
      <c r="I7" s="15" t="n">
        <f aca="false">E7+F7</f>
        <v>2.35050493200003</v>
      </c>
    </row>
    <row r="8" customFormat="false" ht="15" hidden="false" customHeight="false" outlineLevel="0" collapsed="false">
      <c r="B8" s="23" t="s">
        <v>27</v>
      </c>
      <c r="C8" s="14" t="n">
        <f aca="false">SUMIF('Variance Calcs'!$A$6:$A$109,B8,'Variance Calcs'!$H$6:$H$109)</f>
        <v>-38.5659690800001</v>
      </c>
      <c r="D8" s="14" t="n">
        <f aca="false">SUMIF('Variance Calcs'!$A$6:$A$109,B8,'Variance Calcs'!$I$6:$I$109)</f>
        <v>88.71744</v>
      </c>
      <c r="E8" s="14" t="n">
        <f aca="false">SUMIF('Variance Calcs'!$A$6:$A$109,B8,'Variance Calcs'!$J$6:$J$109)</f>
        <v>0.245367098000002</v>
      </c>
      <c r="F8" s="14" t="n">
        <f aca="false">SUMIF('Variance Calcs'!$A$6:$A$109,B8,'Variance Calcs'!$K$6:$K$109)</f>
        <v>50.1389325</v>
      </c>
      <c r="G8" s="24" t="n">
        <f aca="false">SUMIF('Daily Data'!$A$5:$A$108,B8,'Daily Data'!$C$5:$C$108)</f>
        <v>1365</v>
      </c>
      <c r="H8" s="15" t="n">
        <f aca="false">C8+D8</f>
        <v>50.1514709199999</v>
      </c>
      <c r="I8" s="15" t="n">
        <f aca="false">E8+F8</f>
        <v>50.384299598</v>
      </c>
    </row>
    <row r="9" customFormat="false" ht="15" hidden="false" customHeight="false" outlineLevel="0" collapsed="false">
      <c r="B9" s="23" t="s">
        <v>28</v>
      </c>
      <c r="C9" s="14" t="n">
        <f aca="false">SUMIF('Variance Calcs'!$A$6:$A$109,B9,'Variance Calcs'!$H$6:$H$109)</f>
        <v>-42.11679717</v>
      </c>
      <c r="D9" s="14" t="n">
        <f aca="false">SUMIF('Variance Calcs'!$A$6:$A$109,B9,'Variance Calcs'!$I$6:$I$109)</f>
        <v>66.4078999999999</v>
      </c>
      <c r="E9" s="14" t="n">
        <f aca="false">SUMIF('Variance Calcs'!$A$6:$A$109,B9,'Variance Calcs'!$J$6:$J$109)</f>
        <v>0.0278730538333247</v>
      </c>
      <c r="F9" s="14" t="n">
        <f aca="false">SUMIF('Variance Calcs'!$A$6:$A$109,B9,'Variance Calcs'!$K$6:$K$109)</f>
        <v>36.6804808333334</v>
      </c>
      <c r="G9" s="24" t="n">
        <f aca="false">SUMIF('Daily Data'!$A$5:$A$108,B9,'Daily Data'!$C$5:$C$108)</f>
        <v>774</v>
      </c>
      <c r="H9" s="15" t="n">
        <f aca="false">C9+D9</f>
        <v>24.2911028299999</v>
      </c>
      <c r="I9" s="15" t="n">
        <f aca="false">E9+F9</f>
        <v>36.7083538871667</v>
      </c>
    </row>
    <row r="10" customFormat="false" ht="15" hidden="false" customHeight="false" outlineLevel="0" collapsed="false">
      <c r="B10" s="23" t="s">
        <v>58</v>
      </c>
      <c r="C10" s="15" t="n">
        <f aca="false">SUM(C6:C9)</f>
        <v>-171.17994726</v>
      </c>
      <c r="D10" s="15" t="n">
        <f aca="false">SUM(D6:D9)</f>
        <v>333.51056</v>
      </c>
      <c r="E10" s="15" t="n">
        <f aca="false">SUM(E6:E9)</f>
        <v>-7.21675540266664</v>
      </c>
      <c r="F10" s="15" t="n">
        <f aca="false">SUM(F6:F9)</f>
        <v>-273.948511666667</v>
      </c>
      <c r="G10" s="25" t="n">
        <f aca="false">SUM(G6:G9)</f>
        <v>5381</v>
      </c>
      <c r="H10" s="15" t="n">
        <f aca="false">SUM(H6:H9)</f>
        <v>162.33061274</v>
      </c>
      <c r="I10" s="15" t="n">
        <f aca="false">SUM(I6:I9)</f>
        <v>-281.165267069333</v>
      </c>
    </row>
    <row r="31" customFormat="false" ht="15" hidden="false" customHeight="false" outlineLevel="0" collapsed="false">
      <c r="B31" s="26" t="s">
        <v>59</v>
      </c>
      <c r="C31" s="26"/>
      <c r="D31" s="26"/>
      <c r="E31" s="26"/>
      <c r="F31" s="26"/>
      <c r="G31" s="26"/>
      <c r="H31" s="26"/>
      <c r="I31" s="26"/>
    </row>
    <row r="32" customFormat="false" ht="15" hidden="false" customHeight="false" outlineLevel="0" collapsed="false">
      <c r="B32" s="27" t="s">
        <v>60</v>
      </c>
      <c r="C32" s="27" t="s">
        <v>61</v>
      </c>
      <c r="D32" s="27" t="s">
        <v>17</v>
      </c>
      <c r="E32" s="26" t="s">
        <v>62</v>
      </c>
      <c r="F32" s="26"/>
      <c r="G32" s="26"/>
      <c r="H32" s="26"/>
      <c r="I32" s="26"/>
    </row>
    <row r="33" customFormat="false" ht="45" hidden="false" customHeight="true" outlineLevel="0" collapsed="false">
      <c r="B33" s="28" t="s">
        <v>63</v>
      </c>
      <c r="C33" s="3" t="s">
        <v>64</v>
      </c>
      <c r="D33" s="3" t="s">
        <v>25</v>
      </c>
      <c r="E33" s="29" t="s">
        <v>65</v>
      </c>
      <c r="F33" s="29"/>
      <c r="G33" s="29"/>
      <c r="H33" s="29"/>
      <c r="I33" s="29"/>
    </row>
    <row r="34" customFormat="false" ht="45" hidden="false" customHeight="true" outlineLevel="0" collapsed="false">
      <c r="B34" s="28" t="s">
        <v>63</v>
      </c>
      <c r="C34" s="3" t="s">
        <v>64</v>
      </c>
      <c r="D34" s="3" t="s">
        <v>26</v>
      </c>
      <c r="E34" s="29" t="s">
        <v>66</v>
      </c>
      <c r="F34" s="29"/>
      <c r="G34" s="29"/>
      <c r="H34" s="29"/>
      <c r="I34" s="29"/>
    </row>
    <row r="35" customFormat="false" ht="45" hidden="false" customHeight="true" outlineLevel="0" collapsed="false">
      <c r="B35" s="28" t="s">
        <v>63</v>
      </c>
      <c r="C35" s="3" t="s">
        <v>64</v>
      </c>
      <c r="D35" s="3" t="s">
        <v>27</v>
      </c>
      <c r="E35" s="29" t="s">
        <v>67</v>
      </c>
      <c r="F35" s="29"/>
      <c r="G35" s="29"/>
      <c r="H35" s="29"/>
      <c r="I35" s="29"/>
    </row>
    <row r="36" customFormat="false" ht="45" hidden="false" customHeight="true" outlineLevel="0" collapsed="false">
      <c r="B36" s="28" t="s">
        <v>63</v>
      </c>
      <c r="C36" s="3" t="s">
        <v>64</v>
      </c>
      <c r="D36" s="3" t="s">
        <v>28</v>
      </c>
      <c r="E36" s="29" t="s">
        <v>68</v>
      </c>
      <c r="F36" s="29"/>
      <c r="G36" s="29"/>
      <c r="H36" s="29"/>
      <c r="I36" s="29"/>
    </row>
    <row r="37" customFormat="false" ht="45" hidden="false" customHeight="true" outlineLevel="0" collapsed="false">
      <c r="B37" s="30" t="s">
        <v>69</v>
      </c>
      <c r="C37" s="3" t="s">
        <v>70</v>
      </c>
      <c r="D37" s="3" t="s">
        <v>25</v>
      </c>
      <c r="E37" s="29" t="s">
        <v>71</v>
      </c>
      <c r="F37" s="29"/>
      <c r="G37" s="29"/>
      <c r="H37" s="29"/>
      <c r="I37" s="29"/>
    </row>
    <row r="38" customFormat="false" ht="45" hidden="false" customHeight="true" outlineLevel="0" collapsed="false">
      <c r="B38" s="30" t="s">
        <v>69</v>
      </c>
      <c r="C38" s="3" t="s">
        <v>72</v>
      </c>
      <c r="D38" s="3" t="s">
        <v>25</v>
      </c>
      <c r="E38" s="29" t="s">
        <v>73</v>
      </c>
      <c r="F38" s="29"/>
      <c r="G38" s="29"/>
      <c r="H38" s="29"/>
      <c r="I38" s="29"/>
    </row>
  </sheetData>
  <mergeCells count="8">
    <mergeCell ref="B31:I31"/>
    <mergeCell ref="E32:I32"/>
    <mergeCell ref="E33:I33"/>
    <mergeCell ref="E34:I34"/>
    <mergeCell ref="E35:I35"/>
    <mergeCell ref="E36:I36"/>
    <mergeCell ref="E37:I37"/>
    <mergeCell ref="E38:I38"/>
  </mergeCells>
  <conditionalFormatting sqref="C6:C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D6:D9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E6:E9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F6:F9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H6:H9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I6:I9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2026-06-30T08:25:04Z</dcterms:created>
  <dc:creator>openpyxl</dc:creator>
  <dc:description/>
  <dc:language>en-US</dc:language>
  <cp:lastModifiedBy/>
  <dcterms:modified xsi:type="dcterms:W3CDTF">2026-06-30T08:25:10Z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