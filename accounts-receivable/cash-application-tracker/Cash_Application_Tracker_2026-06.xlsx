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bff2e1564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ea30bd7fbfc4453"/>
    <x:sheet xmlns:r="http://schemas.openxmlformats.org/officeDocument/2006/relationships" name="Invoice Register" sheetId="2" r:id="R67484bb0b5e648a2"/>
    <x:sheet xmlns:r="http://schemas.openxmlformats.org/officeDocument/2006/relationships" name="Cash Receipts" sheetId="3" r:id="R38ff20843de4421c"/>
    <x:sheet xmlns:r="http://schemas.openxmlformats.org/officeDocument/2006/relationships" name="Application Detail" sheetId="4" r:id="R935845a89a134791"/>
    <x:sheet xmlns:r="http://schemas.openxmlformats.org/officeDocument/2006/relationships" name="Customer Summary" sheetId="5" r:id="Rd6a99ec09bac48a1"/>
    <x:sheet xmlns:r="http://schemas.openxmlformats.org/officeDocument/2006/relationships" name="Control Checks" sheetId="6" r:id="R35c314027bd543ab"/>
  </x:sheets>
</x:workbook>
</file>

<file path=xl/comments1.xml><?xml version="1.0" encoding="utf-8"?>
<x:comments xmlns:x="http://schemas.openxmlformats.org/spreadsheetml/2006/main">
  <x:authors>
    <x:author>tc={68F40DE6-E8D7-7FFB-5766-847E833AD592}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synthetic June 2026 cash application scenario | As-of: 2026-06-30 | Owner: SanDAce07.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&quot;$&quot;#,##0;[Red](&quot;$&quot;#,##0);-"/>
    <x:numFmt numFmtId="202" formatCode="0.0%"/>
    <x:numFmt numFmtId="203" formatCode="0"/>
    <x:numFmt numFmtId="204" formatCode="0.00"/>
  </x:numFmts>
  <x:fonts count="25">
    <x:font>
      <x:sz val="11"/>
      <x:name val="Carlito"/>
    </x:font>
    <x:font>
      <x:b/>
      <x:sz val="22"/>
      <x:color rgb="FFFFFFFF"/>
      <x:name val="Carlito"/>
    </x:font>
    <x:font>
      <x:sz val="10"/>
      <x:color rgb="FF667085"/>
      <x:name val="Carlito"/>
    </x:font>
    <x:font>
      <x:b/>
      <x:sz val="10"/>
      <x:color rgb="FF667085"/>
      <x:name val="Carlito"/>
    </x:font>
    <x:font>
      <x:b/>
      <x:sz val="10"/>
      <x:color rgb="FF2E7D32"/>
      <x:name val="Carlito"/>
    </x:font>
    <x:font>
      <x:b/>
      <x:sz val="10"/>
      <x:color rgb="FFFFFFFF"/>
      <x:name val="Carlito"/>
    </x:font>
    <x:font>
      <x:b/>
      <x:sz val="20"/>
      <x:color rgb="FF1F2937"/>
      <x:name val="Carlito"/>
    </x:font>
    <x:font>
      <x:b/>
      <x:sz val="20"/>
      <x:color rgb="FF2A9D8F"/>
      <x:name val="Carlito"/>
    </x:font>
    <x:font>
      <x:b/>
      <x:sz val="20"/>
      <x:color rgb="FFC63D3D"/>
      <x:name val="Carlito"/>
    </x:font>
    <x:font>
      <x:b/>
      <x:sz val="20"/>
      <x:color rgb="FF9A5A00"/>
      <x:name val="Carlito"/>
    </x:font>
    <x:font>
      <x:b/>
      <x:sz val="22"/>
      <x:color rgb="FF1F2937"/>
      <x:name val="Carlito"/>
    </x:font>
    <x:font>
      <x:b/>
      <x:sz val="22"/>
      <x:color rgb="FF6B5CA5"/>
      <x:name val="Carlito"/>
    </x:font>
    <x:font>
      <x:b/>
      <x:sz val="22"/>
      <x:color rgb="FFC63D3D"/>
      <x:name val="Carlito"/>
    </x:font>
    <x:font>
      <x:b/>
      <x:sz val="11"/>
      <x:color rgb="FFFFFFFF"/>
      <x:name val="Carlito"/>
    </x:font>
    <x:font>
      <x:sz val="11"/>
      <x:color rgb="FF8A5200"/>
      <x:name val="Carlito"/>
    </x:font>
    <x:font>
      <x:sz val="11"/>
      <x:color rgb="FFC63D3D"/>
      <x:name val="Carlito"/>
    </x:font>
    <x:font>
      <x:b/>
      <x:sz val="21"/>
      <x:color rgb="FFC63D3D"/>
      <x:name val="Carlito"/>
    </x:font>
    <x:font>
      <x:sz val="11"/>
      <x:color rgb="FF1F2937"/>
      <x:name val="Carlito"/>
    </x:font>
    <x:font>
      <x:b/>
      <x:sz val="11"/>
      <x:color rgb="FF667085"/>
      <x:name val="Carlito"/>
    </x:font>
    <x:font>
      <x:i/>
      <x:sz val="11"/>
      <x:color rgb="FF2F75B5"/>
      <x:name val="Carlito"/>
    </x:font>
    <x:font>
      <x:i/>
      <x:sz val="11"/>
      <x:color rgb="FF2A9D8F"/>
      <x:name val="Carlito"/>
    </x:font>
    <x:font>
      <x:b/>
      <x:sz val="16"/>
      <x:color rgb="FF2E7D32"/>
      <x:name val="Carlito"/>
    </x:font>
    <x:font>
      <x:b/>
      <x:sz val="11"/>
      <x:color rgb="FF17324D"/>
      <x:name val="Carlito"/>
    </x:font>
    <x:font>
      <x:b/>
      <x:sz val="11"/>
      <x:color rgb="FF2A9D8F"/>
      <x:name val="Carlito"/>
    </x:font>
    <x:font>
      <x:b/>
      <x:sz val="11"/>
      <x:color rgb="FF6B5CA5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EAF5EA"/>
      </x:patternFill>
    </x:fill>
    <x:fill>
      <x:patternFill patternType="solid">
        <x:fgColor rgb="FFFFFFFF"/>
      </x:patternFill>
    </x:fill>
    <x:fill>
      <x:patternFill patternType="solid">
        <x:fgColor rgb="FF2A9D8F"/>
      </x:patternFill>
    </x:fill>
    <x:fill>
      <x:patternFill patternType="solid">
        <x:fgColor rgb="FFE8F5F2"/>
      </x:patternFill>
    </x:fill>
    <x:fill>
      <x:patternFill patternType="solid">
        <x:fgColor rgb="FFC63D3D"/>
      </x:patternFill>
    </x:fill>
    <x:fill>
      <x:patternFill patternType="solid">
        <x:fgColor rgb="FFFCECEC"/>
      </x:patternFill>
    </x:fill>
    <x:fill>
      <x:patternFill patternType="solid">
        <x:fgColor rgb="FFE69F3A"/>
      </x:patternFill>
    </x:fill>
    <x:fill>
      <x:patternFill patternType="solid">
        <x:fgColor rgb="FFFFF4E5"/>
      </x:patternFill>
    </x:fill>
    <x:fill>
      <x:patternFill patternType="solid">
        <x:fgColor rgb="FF6B5CA5"/>
      </x:patternFill>
    </x:fill>
    <x:fill>
      <x:patternFill patternType="solid">
        <x:fgColor rgb="FFF1EEFA"/>
      </x:patternFill>
    </x:fill>
    <x:fill>
      <x:patternFill patternType="solid">
        <x:fgColor rgb="FF2F75B5"/>
      </x:patternFill>
    </x:fill>
    <x:fill>
      <x:patternFill patternType="solid">
        <x:fgColor rgb="FFF5F7FA"/>
      </x:patternFill>
    </x:fill>
    <x:fill>
      <x:patternFill patternType="solid">
        <x:fgColor rgb="FFF8FBFE"/>
      </x:patternFill>
    </x:fill>
  </x:fills>
  <x:borders count="32">
    <x:border/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</x:border>
    <x:border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</x:border>
    <x:border>
      <x:right style="thin">
        <x:color rgb="FFD7DEE7"/>
      </x:right>
    </x:border>
    <x:border>
      <x:left style="thin">
        <x:color rgb="FFD7DEE7"/>
      </x:left>
      <x:bottom style="thin">
        <x:color rgb="FFD7DEE7"/>
      </x:bottom>
    </x:border>
    <x:border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  <x:border>
      <x:left style="thin">
        <x:color rgb="FF2F75B5"/>
      </x:left>
      <x:top style="thin">
        <x:color rgb="FF2F75B5"/>
      </x:top>
      <x:bottom style="thin">
        <x:color rgb="FF2F75B5"/>
      </x:bottom>
    </x:border>
    <x:border>
      <x:top style="thin">
        <x:color rgb="FF2F75B5"/>
      </x:top>
      <x:bottom style="thin">
        <x:color rgb="FF2F75B5"/>
      </x:bottom>
    </x:border>
    <x:border>
      <x:right style="thin">
        <x:color rgb="FF2F75B5"/>
      </x:right>
      <x:top style="thin">
        <x:color rgb="FF2F75B5"/>
      </x:top>
      <x:bottom style="thin">
        <x:color rgb="FF2F75B5"/>
      </x:bottom>
    </x:border>
    <x:border>
      <x:left style="thin">
        <x:color rgb="FF2A9D8F"/>
      </x:left>
      <x:top style="thin">
        <x:color rgb="FF2A9D8F"/>
      </x:top>
      <x:bottom style="thin">
        <x:color rgb="FF2A9D8F"/>
      </x:bottom>
    </x:border>
    <x:border>
      <x:top style="thin">
        <x:color rgb="FF2A9D8F"/>
      </x:top>
      <x:bottom style="thin">
        <x:color rgb="FF2A9D8F"/>
      </x:bottom>
    </x:border>
    <x:border>
      <x:right style="thin">
        <x:color rgb="FF2A9D8F"/>
      </x:right>
      <x:top style="thin">
        <x:color rgb="FF2A9D8F"/>
      </x:top>
      <x:bottom style="thin">
        <x:color rgb="FF2A9D8F"/>
      </x:bottom>
    </x:border>
    <x:border>
      <x:left style="thin">
        <x:color rgb="FFD7DEE7"/>
      </x:left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right style="thin">
        <x:color rgb="FFE7EBF0"/>
      </x:right>
      <x:bottom style="thin">
        <x:color rgb="FFE7EBF0"/>
      </x:bottom>
    </x:border>
    <x:border>
      <x:left style="thin">
        <x:color rgb="FFE7EBF0"/>
      </x:left>
      <x:right style="thin">
        <x:color rgb="FFE7EBF0"/>
      </x:right>
      <x:bottom style="thin">
        <x:color rgb="FFE7EBF0"/>
      </x:bottom>
    </x:border>
    <x:border>
      <x:left style="thin">
        <x:color rgb="FFE7EBF0"/>
      </x:left>
      <x:bottom style="thin">
        <x:color rgb="FFE7EBF0"/>
      </x:bottom>
    </x:border>
    <x:border>
      <x:right style="thin">
        <x:color rgb="FFE7EBF0"/>
      </x:right>
      <x:top style="thin">
        <x:color rgb="FFE7EBF0"/>
      </x:top>
      <x:bottom style="thin">
        <x:color rgb="FFE7EBF0"/>
      </x:bottom>
    </x:border>
    <x:border>
      <x:left style="thin">
        <x:color rgb="FFE7EBF0"/>
      </x:left>
      <x:right style="thin">
        <x:color rgb="FFE7EBF0"/>
      </x:right>
      <x:top style="thin">
        <x:color rgb="FFE7EBF0"/>
      </x:top>
      <x:bottom style="thin">
        <x:color rgb="FFE7EBF0"/>
      </x:bottom>
    </x:border>
    <x:border>
      <x:left style="thin">
        <x:color rgb="FFE7EBF0"/>
      </x:left>
      <x:top style="thin">
        <x:color rgb="FFE7EBF0"/>
      </x:top>
      <x:bottom style="thin">
        <x:color rgb="FFE7EBF0"/>
      </x:bottom>
    </x:border>
    <x:border>
      <x:right style="thin">
        <x:color rgb="FFE7EBF0"/>
      </x:right>
      <x:top style="thin">
        <x:color rgb="FFE7EBF0"/>
      </x:top>
    </x:border>
    <x:border>
      <x:left style="thin">
        <x:color rgb="FFE7EBF0"/>
      </x:left>
      <x:right style="thin">
        <x:color rgb="FFE7EBF0"/>
      </x:right>
      <x:top style="thin">
        <x:color rgb="FFE7EBF0"/>
      </x:top>
    </x:border>
    <x:border>
      <x:left style="thin">
        <x:color rgb="FFE7EBF0"/>
      </x:left>
      <x:top style="thin">
        <x:color rgb="FFE7EBF0"/>
      </x:top>
    </x:border>
    <x:border>
      <x:left style="thin">
        <x:color rgb="FF6B5CA5"/>
      </x:left>
      <x:top style="thin">
        <x:color rgb="FF6B5CA5"/>
      </x:top>
      <x:bottom style="thin">
        <x:color rgb="FF6B5CA5"/>
      </x:bottom>
    </x:border>
    <x:border>
      <x:top style="thin">
        <x:color rgb="FF6B5CA5"/>
      </x:top>
      <x:bottom style="thin">
        <x:color rgb="FF6B5CA5"/>
      </x:bottom>
    </x:border>
    <x:border>
      <x:right style="thin">
        <x:color rgb="FF6B5CA5"/>
      </x:right>
      <x:top style="thin">
        <x:color rgb="FF6B5CA5"/>
      </x:top>
      <x:bottom style="thin">
        <x:color rgb="FF6B5CA5"/>
      </x:bottom>
    </x:border>
  </x:borders>
  <x:cellStyleXfs count="1">
    <x:xf numFmtId="0" fontId="0" fillId="0" borderId="0"/>
  </x:cellStyleXfs>
  <x:cellXfs count="5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2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2" xfId="0" applyNumberFormat="1" applyFont="1" applyFill="1" applyBorder="1" applyAlignment="1">
      <x:alignment horizontal="center"/>
    </x:xf>
    <x:xf numFmtId="0" fontId="5" fillId="2" borderId="3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201" fontId="6" fillId="5" borderId="4" xfId="0" applyNumberFormat="1" applyFont="1" applyFill="1" applyBorder="1"/>
    <x:xf numFmtId="201" fontId="6" fillId="5" borderId="5" xfId="0" applyNumberFormat="1" applyFont="1" applyFill="1" applyBorder="1"/>
    <x:xf numFmtId="201" fontId="6" fillId="5" borderId="6" xfId="0" applyNumberFormat="1" applyFont="1" applyFill="1" applyBorder="1"/>
    <x:xf numFmtId="201" fontId="6" fillId="5" borderId="7" xfId="0" applyNumberFormat="1" applyFont="1" applyFill="1" applyBorder="1"/>
    <x:xf numFmtId="201" fontId="6" fillId="5" borderId="0" xfId="0" applyNumberFormat="1" applyFont="1" applyFill="1" applyBorder="1"/>
    <x:xf numFmtId="201" fontId="6" fillId="5" borderId="8" xfId="0" applyNumberFormat="1" applyFont="1" applyFill="1" applyBorder="1"/>
    <x:xf numFmtId="201" fontId="6" fillId="5" borderId="9" xfId="0" applyNumberFormat="1" applyFont="1" applyFill="1" applyBorder="1"/>
    <x:xf numFmtId="201" fontId="6" fillId="5" borderId="10" xfId="0" applyNumberFormat="1" applyFont="1" applyFill="1" applyBorder="1"/>
    <x:xf numFmtId="201" fontId="6" fillId="5" borderId="11" xfId="0" applyNumberFormat="1" applyFont="1" applyFill="1" applyBorder="1"/>
    <x:xf numFmtId="201" fontId="6" fillId="5" borderId="4" xfId="0" applyNumberFormat="1" applyFont="1" applyFill="1" applyBorder="1" applyAlignment="1">
      <x:alignment horizontal="center"/>
    </x:xf>
    <x:xf numFmtId="201" fontId="6" fillId="5" borderId="5" xfId="0" applyNumberFormat="1" applyFont="1" applyFill="1" applyBorder="1" applyAlignment="1">
      <x:alignment horizontal="center"/>
    </x:xf>
    <x:xf numFmtId="201" fontId="6" fillId="5" borderId="6" xfId="0" applyNumberFormat="1" applyFont="1" applyFill="1" applyBorder="1" applyAlignment="1">
      <x:alignment horizontal="center"/>
    </x:xf>
    <x:xf numFmtId="201" fontId="6" fillId="5" borderId="7" xfId="0" applyNumberFormat="1" applyFont="1" applyFill="1" applyBorder="1" applyAlignment="1">
      <x:alignment horizontal="center"/>
    </x:xf>
    <x:xf numFmtId="201" fontId="6" fillId="5" borderId="0" xfId="0" applyNumberFormat="1" applyFont="1" applyFill="1" applyBorder="1" applyAlignment="1">
      <x:alignment horizontal="center"/>
    </x:xf>
    <x:xf numFmtId="201" fontId="6" fillId="5" borderId="8" xfId="0" applyNumberFormat="1" applyFont="1" applyFill="1" applyBorder="1" applyAlignment="1">
      <x:alignment horizontal="center"/>
    </x:xf>
    <x:xf numFmtId="201" fontId="6" fillId="5" borderId="9" xfId="0" applyNumberFormat="1" applyFont="1" applyFill="1" applyBorder="1" applyAlignment="1">
      <x:alignment horizontal="center"/>
    </x:xf>
    <x:xf numFmtId="201" fontId="6" fillId="5" borderId="10" xfId="0" applyNumberFormat="1" applyFont="1" applyFill="1" applyBorder="1" applyAlignment="1">
      <x:alignment horizontal="center"/>
    </x:xf>
    <x:xf numFmtId="201" fontId="6" fillId="5" borderId="11" xfId="0" applyNumberFormat="1" applyFont="1" applyFill="1" applyBorder="1" applyAlignment="1">
      <x:alignment horizontal="center"/>
    </x:xf>
    <x:xf numFmtId="201" fontId="6" fillId="5" borderId="4" xfId="0" applyNumberFormat="1" applyFont="1" applyFill="1" applyBorder="1" applyAlignment="1">
      <x:alignment horizontal="center" vertical="center"/>
    </x:xf>
    <x:xf numFmtId="201" fontId="6" fillId="5" borderId="5" xfId="0" applyNumberFormat="1" applyFont="1" applyFill="1" applyBorder="1" applyAlignment="1">
      <x:alignment horizontal="center" vertical="center"/>
    </x:xf>
    <x:xf numFmtId="201" fontId="6" fillId="5" borderId="6" xfId="0" applyNumberFormat="1" applyFont="1" applyFill="1" applyBorder="1" applyAlignment="1">
      <x:alignment horizontal="center" vertical="center"/>
    </x:xf>
    <x:xf numFmtId="201" fontId="6" fillId="5" borderId="7" xfId="0" applyNumberFormat="1" applyFont="1" applyFill="1" applyBorder="1" applyAlignment="1">
      <x:alignment horizontal="center" vertical="center"/>
    </x:xf>
    <x:xf numFmtId="201" fontId="6" fillId="5" borderId="0" xfId="0" applyNumberFormat="1" applyFont="1" applyFill="1" applyBorder="1" applyAlignment="1">
      <x:alignment horizontal="center" vertical="center"/>
    </x:xf>
    <x:xf numFmtId="201" fontId="6" fillId="5" borderId="8" xfId="0" applyNumberFormat="1" applyFont="1" applyFill="1" applyBorder="1" applyAlignment="1">
      <x:alignment horizontal="center" vertical="center"/>
    </x:xf>
    <x:xf numFmtId="201" fontId="6" fillId="5" borderId="9" xfId="0" applyNumberFormat="1" applyFont="1" applyFill="1" applyBorder="1" applyAlignment="1">
      <x:alignment horizontal="center" vertical="center"/>
    </x:xf>
    <x:xf numFmtId="201" fontId="6" fillId="5" borderId="10" xfId="0" applyNumberFormat="1" applyFont="1" applyFill="1" applyBorder="1" applyAlignment="1">
      <x:alignment horizontal="center" vertical="center"/>
    </x:xf>
    <x:xf numFmtId="201" fontId="6" fillId="5" borderId="1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 applyAlignment="1">
      <x:alignment horizontal="center"/>
    </x:xf>
    <x:xf numFmtId="0" fontId="5" fillId="6" borderId="3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201" fontId="7" fillId="7" borderId="4" xfId="0" applyNumberFormat="1" applyFont="1" applyFill="1" applyBorder="1"/>
    <x:xf numFmtId="201" fontId="7" fillId="7" borderId="5" xfId="0" applyNumberFormat="1" applyFont="1" applyFill="1" applyBorder="1"/>
    <x:xf numFmtId="201" fontId="7" fillId="7" borderId="6" xfId="0" applyNumberFormat="1" applyFont="1" applyFill="1" applyBorder="1"/>
    <x:xf numFmtId="201" fontId="7" fillId="7" borderId="7" xfId="0" applyNumberFormat="1" applyFont="1" applyFill="1" applyBorder="1"/>
    <x:xf numFmtId="201" fontId="7" fillId="7" borderId="0" xfId="0" applyNumberFormat="1" applyFont="1" applyFill="1" applyBorder="1"/>
    <x:xf numFmtId="201" fontId="7" fillId="7" borderId="8" xfId="0" applyNumberFormat="1" applyFont="1" applyFill="1" applyBorder="1"/>
    <x:xf numFmtId="201" fontId="7" fillId="7" borderId="9" xfId="0" applyNumberFormat="1" applyFont="1" applyFill="1" applyBorder="1"/>
    <x:xf numFmtId="201" fontId="7" fillId="7" borderId="10" xfId="0" applyNumberFormat="1" applyFont="1" applyFill="1" applyBorder="1"/>
    <x:xf numFmtId="201" fontId="7" fillId="7" borderId="11" xfId="0" applyNumberFormat="1" applyFont="1" applyFill="1" applyBorder="1"/>
    <x:xf numFmtId="201" fontId="7" fillId="7" borderId="4" xfId="0" applyNumberFormat="1" applyFont="1" applyFill="1" applyBorder="1" applyAlignment="1">
      <x:alignment horizontal="center"/>
    </x:xf>
    <x:xf numFmtId="201" fontId="7" fillId="7" borderId="5" xfId="0" applyNumberFormat="1" applyFont="1" applyFill="1" applyBorder="1" applyAlignment="1">
      <x:alignment horizontal="center"/>
    </x:xf>
    <x:xf numFmtId="201" fontId="7" fillId="7" borderId="6" xfId="0" applyNumberFormat="1" applyFont="1" applyFill="1" applyBorder="1" applyAlignment="1">
      <x:alignment horizontal="center"/>
    </x:xf>
    <x:xf numFmtId="201" fontId="7" fillId="7" borderId="7" xfId="0" applyNumberFormat="1" applyFont="1" applyFill="1" applyBorder="1" applyAlignment="1">
      <x:alignment horizontal="center"/>
    </x:xf>
    <x:xf numFmtId="201" fontId="7" fillId="7" borderId="0" xfId="0" applyNumberFormat="1" applyFont="1" applyFill="1" applyBorder="1" applyAlignment="1">
      <x:alignment horizontal="center"/>
    </x:xf>
    <x:xf numFmtId="201" fontId="7" fillId="7" borderId="8" xfId="0" applyNumberFormat="1" applyFont="1" applyFill="1" applyBorder="1" applyAlignment="1">
      <x:alignment horizontal="center"/>
    </x:xf>
    <x:xf numFmtId="201" fontId="7" fillId="7" borderId="9" xfId="0" applyNumberFormat="1" applyFont="1" applyFill="1" applyBorder="1" applyAlignment="1">
      <x:alignment horizontal="center"/>
    </x:xf>
    <x:xf numFmtId="201" fontId="7" fillId="7" borderId="10" xfId="0" applyNumberFormat="1" applyFont="1" applyFill="1" applyBorder="1" applyAlignment="1">
      <x:alignment horizontal="center"/>
    </x:xf>
    <x:xf numFmtId="201" fontId="7" fillId="7" borderId="11" xfId="0" applyNumberFormat="1" applyFont="1" applyFill="1" applyBorder="1" applyAlignment="1">
      <x:alignment horizontal="center"/>
    </x:xf>
    <x:xf numFmtId="201" fontId="7" fillId="7" borderId="4" xfId="0" applyNumberFormat="1" applyFont="1" applyFill="1" applyBorder="1" applyAlignment="1">
      <x:alignment horizontal="center" vertical="center"/>
    </x:xf>
    <x:xf numFmtId="201" fontId="7" fillId="7" borderId="5" xfId="0" applyNumberFormat="1" applyFont="1" applyFill="1" applyBorder="1" applyAlignment="1">
      <x:alignment horizontal="center" vertical="center"/>
    </x:xf>
    <x:xf numFmtId="201" fontId="7" fillId="7" borderId="6" xfId="0" applyNumberFormat="1" applyFont="1" applyFill="1" applyBorder="1" applyAlignment="1">
      <x:alignment horizontal="center" vertical="center"/>
    </x:xf>
    <x:xf numFmtId="201" fontId="7" fillId="7" borderId="7" xfId="0" applyNumberFormat="1" applyFont="1" applyFill="1" applyBorder="1" applyAlignment="1">
      <x:alignment horizontal="center" vertical="center"/>
    </x:xf>
    <x:xf numFmtId="201" fontId="7" fillId="7" borderId="0" xfId="0" applyNumberFormat="1" applyFont="1" applyFill="1" applyBorder="1" applyAlignment="1">
      <x:alignment horizontal="center" vertical="center"/>
    </x:xf>
    <x:xf numFmtId="201" fontId="7" fillId="7" borderId="8" xfId="0" applyNumberFormat="1" applyFont="1" applyFill="1" applyBorder="1" applyAlignment="1">
      <x:alignment horizontal="center" vertical="center"/>
    </x:xf>
    <x:xf numFmtId="201" fontId="7" fillId="7" borderId="9" xfId="0" applyNumberFormat="1" applyFont="1" applyFill="1" applyBorder="1" applyAlignment="1">
      <x:alignment horizontal="center" vertical="center"/>
    </x:xf>
    <x:xf numFmtId="201" fontId="7" fillId="7" borderId="10" xfId="0" applyNumberFormat="1" applyFont="1" applyFill="1" applyBorder="1" applyAlignment="1">
      <x:alignment horizontal="center" vertical="center"/>
    </x:xf>
    <x:xf numFmtId="201" fontId="7" fillId="7" borderId="1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2" xfId="0" applyNumberFormat="1" applyFont="1" applyFill="1" applyBorder="1"/>
    <x:xf numFmtId="0" fontId="5" fillId="8" borderId="3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5" fillId="8" borderId="2" xfId="0" applyNumberFormat="1" applyFont="1" applyFill="1" applyBorder="1" applyAlignment="1">
      <x:alignment horizontal="center"/>
    </x:xf>
    <x:xf numFmtId="0" fontId="5" fillId="8" borderId="3" xfId="0" applyNumberFormat="1" applyFont="1" applyFill="1" applyBorder="1" applyAlignment="1">
      <x:alignment horizont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5" fillId="8" borderId="2" xfId="0" applyNumberFormat="1" applyFont="1" applyFill="1" applyBorder="1" applyAlignment="1">
      <x:alignment horizontal="center" vertical="center"/>
    </x:xf>
    <x:xf numFmtId="0" fontId="5" fillId="8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4" xfId="0" applyNumberFormat="1" applyFont="1" applyFill="1" applyBorder="1"/>
    <x:xf numFmtId="0" fontId="8" fillId="9" borderId="5" xfId="0" applyNumberFormat="1" applyFont="1" applyFill="1" applyBorder="1"/>
    <x:xf numFmtId="0" fontId="8" fillId="9" borderId="6" xfId="0" applyNumberFormat="1" applyFont="1" applyFill="1" applyBorder="1"/>
    <x:xf numFmtId="0" fontId="8" fillId="9" borderId="7" xfId="0" applyNumberFormat="1" applyFont="1" applyFill="1" applyBorder="1"/>
    <x:xf numFmtId="0" fontId="8" fillId="9" borderId="8" xfId="0" applyNumberFormat="1" applyFont="1" applyFill="1" applyBorder="1"/>
    <x:xf numFmtId="0" fontId="8" fillId="9" borderId="9" xfId="0" applyNumberFormat="1" applyFont="1" applyFill="1" applyBorder="1"/>
    <x:xf numFmtId="0" fontId="8" fillId="9" borderId="10" xfId="0" applyNumberFormat="1" applyFont="1" applyFill="1" applyBorder="1"/>
    <x:xf numFmtId="0" fontId="8" fillId="9" borderId="11" xfId="0" applyNumberFormat="1" applyFont="1" applyFill="1" applyBorder="1"/>
    <x:xf numFmtId="201" fontId="8" fillId="9" borderId="4" xfId="0" applyNumberFormat="1" applyFont="1" applyFill="1" applyBorder="1"/>
    <x:xf numFmtId="201" fontId="8" fillId="9" borderId="5" xfId="0" applyNumberFormat="1" applyFont="1" applyFill="1" applyBorder="1"/>
    <x:xf numFmtId="201" fontId="8" fillId="9" borderId="6" xfId="0" applyNumberFormat="1" applyFont="1" applyFill="1" applyBorder="1"/>
    <x:xf numFmtId="201" fontId="8" fillId="9" borderId="7" xfId="0" applyNumberFormat="1" applyFont="1" applyFill="1" applyBorder="1"/>
    <x:xf numFmtId="201" fontId="8" fillId="9" borderId="0" xfId="0" applyNumberFormat="1" applyFont="1" applyFill="1" applyBorder="1"/>
    <x:xf numFmtId="201" fontId="8" fillId="9" borderId="8" xfId="0" applyNumberFormat="1" applyFont="1" applyFill="1" applyBorder="1"/>
    <x:xf numFmtId="201" fontId="8" fillId="9" borderId="9" xfId="0" applyNumberFormat="1" applyFont="1" applyFill="1" applyBorder="1"/>
    <x:xf numFmtId="201" fontId="8" fillId="9" borderId="10" xfId="0" applyNumberFormat="1" applyFont="1" applyFill="1" applyBorder="1"/>
    <x:xf numFmtId="201" fontId="8" fillId="9" borderId="11" xfId="0" applyNumberFormat="1" applyFont="1" applyFill="1" applyBorder="1"/>
    <x:xf numFmtId="201" fontId="8" fillId="9" borderId="4" xfId="0" applyNumberFormat="1" applyFont="1" applyFill="1" applyBorder="1" applyAlignment="1">
      <x:alignment horizontal="center"/>
    </x:xf>
    <x:xf numFmtId="201" fontId="8" fillId="9" borderId="5" xfId="0" applyNumberFormat="1" applyFont="1" applyFill="1" applyBorder="1" applyAlignment="1">
      <x:alignment horizontal="center"/>
    </x:xf>
    <x:xf numFmtId="201" fontId="8" fillId="9" borderId="6" xfId="0" applyNumberFormat="1" applyFont="1" applyFill="1" applyBorder="1" applyAlignment="1">
      <x:alignment horizontal="center"/>
    </x:xf>
    <x:xf numFmtId="201" fontId="8" fillId="9" borderId="7" xfId="0" applyNumberFormat="1" applyFont="1" applyFill="1" applyBorder="1" applyAlignment="1">
      <x:alignment horizontal="center"/>
    </x:xf>
    <x:xf numFmtId="201" fontId="8" fillId="9" borderId="0" xfId="0" applyNumberFormat="1" applyFont="1" applyFill="1" applyBorder="1" applyAlignment="1">
      <x:alignment horizontal="center"/>
    </x:xf>
    <x:xf numFmtId="201" fontId="8" fillId="9" borderId="8" xfId="0" applyNumberFormat="1" applyFont="1" applyFill="1" applyBorder="1" applyAlignment="1">
      <x:alignment horizontal="center"/>
    </x:xf>
    <x:xf numFmtId="201" fontId="8" fillId="9" borderId="9" xfId="0" applyNumberFormat="1" applyFont="1" applyFill="1" applyBorder="1" applyAlignment="1">
      <x:alignment horizontal="center"/>
    </x:xf>
    <x:xf numFmtId="201" fontId="8" fillId="9" borderId="10" xfId="0" applyNumberFormat="1" applyFont="1" applyFill="1" applyBorder="1" applyAlignment="1">
      <x:alignment horizontal="center"/>
    </x:xf>
    <x:xf numFmtId="201" fontId="8" fillId="9" borderId="11" xfId="0" applyNumberFormat="1" applyFont="1" applyFill="1" applyBorder="1" applyAlignment="1">
      <x:alignment horizontal="center"/>
    </x:xf>
    <x:xf numFmtId="201" fontId="8" fillId="9" borderId="4" xfId="0" applyNumberFormat="1" applyFont="1" applyFill="1" applyBorder="1" applyAlignment="1">
      <x:alignment horizontal="center" vertical="center"/>
    </x:xf>
    <x:xf numFmtId="201" fontId="8" fillId="9" borderId="5" xfId="0" applyNumberFormat="1" applyFont="1" applyFill="1" applyBorder="1" applyAlignment="1">
      <x:alignment horizontal="center" vertical="center"/>
    </x:xf>
    <x:xf numFmtId="201" fontId="8" fillId="9" borderId="6" xfId="0" applyNumberFormat="1" applyFont="1" applyFill="1" applyBorder="1" applyAlignment="1">
      <x:alignment horizontal="center" vertical="center"/>
    </x:xf>
    <x:xf numFmtId="201" fontId="8" fillId="9" borderId="7" xfId="0" applyNumberFormat="1" applyFont="1" applyFill="1" applyBorder="1" applyAlignment="1">
      <x:alignment horizontal="center" vertical="center"/>
    </x:xf>
    <x:xf numFmtId="201" fontId="8" fillId="9" borderId="0" xfId="0" applyNumberFormat="1" applyFont="1" applyFill="1" applyBorder="1" applyAlignment="1">
      <x:alignment horizontal="center" vertical="center"/>
    </x:xf>
    <x:xf numFmtId="201" fontId="8" fillId="9" borderId="8" xfId="0" applyNumberFormat="1" applyFont="1" applyFill="1" applyBorder="1" applyAlignment="1">
      <x:alignment horizontal="center" vertical="center"/>
    </x:xf>
    <x:xf numFmtId="201" fontId="8" fillId="9" borderId="9" xfId="0" applyNumberFormat="1" applyFont="1" applyFill="1" applyBorder="1" applyAlignment="1">
      <x:alignment horizontal="center" vertical="center"/>
    </x:xf>
    <x:xf numFmtId="201" fontId="8" fillId="9" borderId="10" xfId="0" applyNumberFormat="1" applyFont="1" applyFill="1" applyBorder="1" applyAlignment="1">
      <x:alignment horizontal="center" vertical="center"/>
    </x:xf>
    <x:xf numFmtId="201" fontId="8" fillId="9" borderId="1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" xfId="0" applyNumberFormat="1" applyFont="1" applyFill="1" applyBorder="1"/>
    <x:xf numFmtId="0" fontId="5" fillId="10" borderId="2" xfId="0" applyNumberFormat="1" applyFont="1" applyFill="1" applyBorder="1"/>
    <x:xf numFmtId="0" fontId="5" fillId="10" borderId="3" xfId="0" applyNumberFormat="1" applyFont="1" applyFill="1" applyBorder="1"/>
    <x:xf numFmtId="0" fontId="5" fillId="10" borderId="1" xfId="0" applyNumberFormat="1" applyFont="1" applyFill="1" applyBorder="1" applyAlignment="1">
      <x:alignment horizontal="center"/>
    </x:xf>
    <x:xf numFmtId="0" fontId="5" fillId="10" borderId="2" xfId="0" applyNumberFormat="1" applyFont="1" applyFill="1" applyBorder="1" applyAlignment="1">
      <x:alignment horizontal="center"/>
    </x:xf>
    <x:xf numFmtId="0" fontId="5" fillId="10" borderId="3" xfId="0" applyNumberFormat="1" applyFont="1" applyFill="1" applyBorder="1" applyAlignment="1">
      <x:alignment horizontal="center"/>
    </x:xf>
    <x:xf numFmtId="0" fontId="5" fillId="10" borderId="1" xfId="0" applyNumberFormat="1" applyFont="1" applyFill="1" applyBorder="1" applyAlignment="1">
      <x:alignment horizontal="center" vertical="center"/>
    </x:xf>
    <x:xf numFmtId="0" fontId="5" fillId="10" borderId="2" xfId="0" applyNumberFormat="1" applyFont="1" applyFill="1" applyBorder="1" applyAlignment="1">
      <x:alignment horizontal="center" vertical="center"/>
    </x:xf>
    <x:xf numFmtId="0" fontId="5" fillId="10" borderId="3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4" xfId="0" applyNumberFormat="1" applyFont="1" applyFill="1" applyBorder="1"/>
    <x:xf numFmtId="0" fontId="9" fillId="11" borderId="5" xfId="0" applyNumberFormat="1" applyFont="1" applyFill="1" applyBorder="1"/>
    <x:xf numFmtId="0" fontId="9" fillId="11" borderId="6" xfId="0" applyNumberFormat="1" applyFont="1" applyFill="1" applyBorder="1"/>
    <x:xf numFmtId="0" fontId="9" fillId="11" borderId="7" xfId="0" applyNumberFormat="1" applyFont="1" applyFill="1" applyBorder="1"/>
    <x:xf numFmtId="0" fontId="9" fillId="11" borderId="8" xfId="0" applyNumberFormat="1" applyFont="1" applyFill="1" applyBorder="1"/>
    <x:xf numFmtId="0" fontId="9" fillId="11" borderId="9" xfId="0" applyNumberFormat="1" applyFont="1" applyFill="1" applyBorder="1"/>
    <x:xf numFmtId="0" fontId="9" fillId="11" borderId="10" xfId="0" applyNumberFormat="1" applyFont="1" applyFill="1" applyBorder="1"/>
    <x:xf numFmtId="0" fontId="9" fillId="11" borderId="11" xfId="0" applyNumberFormat="1" applyFont="1" applyFill="1" applyBorder="1"/>
    <x:xf numFmtId="202" fontId="9" fillId="11" borderId="4" xfId="0" applyNumberFormat="1" applyFont="1" applyFill="1" applyBorder="1"/>
    <x:xf numFmtId="202" fontId="9" fillId="11" borderId="5" xfId="0" applyNumberFormat="1" applyFont="1" applyFill="1" applyBorder="1"/>
    <x:xf numFmtId="202" fontId="9" fillId="11" borderId="6" xfId="0" applyNumberFormat="1" applyFont="1" applyFill="1" applyBorder="1"/>
    <x:xf numFmtId="202" fontId="9" fillId="11" borderId="7" xfId="0" applyNumberFormat="1" applyFont="1" applyFill="1" applyBorder="1"/>
    <x:xf numFmtId="202" fontId="9" fillId="11" borderId="0" xfId="0" applyNumberFormat="1" applyFont="1" applyFill="1" applyBorder="1"/>
    <x:xf numFmtId="202" fontId="9" fillId="11" borderId="8" xfId="0" applyNumberFormat="1" applyFont="1" applyFill="1" applyBorder="1"/>
    <x:xf numFmtId="202" fontId="9" fillId="11" borderId="9" xfId="0" applyNumberFormat="1" applyFont="1" applyFill="1" applyBorder="1"/>
    <x:xf numFmtId="202" fontId="9" fillId="11" borderId="10" xfId="0" applyNumberFormat="1" applyFont="1" applyFill="1" applyBorder="1"/>
    <x:xf numFmtId="202" fontId="9" fillId="11" borderId="11" xfId="0" applyNumberFormat="1" applyFont="1" applyFill="1" applyBorder="1"/>
    <x:xf numFmtId="202" fontId="9" fillId="11" borderId="4" xfId="0" applyNumberFormat="1" applyFont="1" applyFill="1" applyBorder="1" applyAlignment="1">
      <x:alignment horizontal="center"/>
    </x:xf>
    <x:xf numFmtId="202" fontId="9" fillId="11" borderId="5" xfId="0" applyNumberFormat="1" applyFont="1" applyFill="1" applyBorder="1" applyAlignment="1">
      <x:alignment horizontal="center"/>
    </x:xf>
    <x:xf numFmtId="202" fontId="9" fillId="11" borderId="6" xfId="0" applyNumberFormat="1" applyFont="1" applyFill="1" applyBorder="1" applyAlignment="1">
      <x:alignment horizontal="center"/>
    </x:xf>
    <x:xf numFmtId="202" fontId="9" fillId="11" borderId="7" xfId="0" applyNumberFormat="1" applyFont="1" applyFill="1" applyBorder="1" applyAlignment="1">
      <x:alignment horizontal="center"/>
    </x:xf>
    <x:xf numFmtId="202" fontId="9" fillId="11" borderId="0" xfId="0" applyNumberFormat="1" applyFont="1" applyFill="1" applyBorder="1" applyAlignment="1">
      <x:alignment horizontal="center"/>
    </x:xf>
    <x:xf numFmtId="202" fontId="9" fillId="11" borderId="8" xfId="0" applyNumberFormat="1" applyFont="1" applyFill="1" applyBorder="1" applyAlignment="1">
      <x:alignment horizontal="center"/>
    </x:xf>
    <x:xf numFmtId="202" fontId="9" fillId="11" borderId="9" xfId="0" applyNumberFormat="1" applyFont="1" applyFill="1" applyBorder="1" applyAlignment="1">
      <x:alignment horizontal="center"/>
    </x:xf>
    <x:xf numFmtId="202" fontId="9" fillId="11" borderId="10" xfId="0" applyNumberFormat="1" applyFont="1" applyFill="1" applyBorder="1" applyAlignment="1">
      <x:alignment horizontal="center"/>
    </x:xf>
    <x:xf numFmtId="202" fontId="9" fillId="11" borderId="11" xfId="0" applyNumberFormat="1" applyFont="1" applyFill="1" applyBorder="1" applyAlignment="1">
      <x:alignment horizontal="center"/>
    </x:xf>
    <x:xf numFmtId="202" fontId="9" fillId="11" borderId="4" xfId="0" applyNumberFormat="1" applyFont="1" applyFill="1" applyBorder="1" applyAlignment="1">
      <x:alignment horizontal="center" vertical="center"/>
    </x:xf>
    <x:xf numFmtId="202" fontId="9" fillId="11" borderId="5" xfId="0" applyNumberFormat="1" applyFont="1" applyFill="1" applyBorder="1" applyAlignment="1">
      <x:alignment horizontal="center" vertical="center"/>
    </x:xf>
    <x:xf numFmtId="202" fontId="9" fillId="11" borderId="6" xfId="0" applyNumberFormat="1" applyFont="1" applyFill="1" applyBorder="1" applyAlignment="1">
      <x:alignment horizontal="center" vertical="center"/>
    </x:xf>
    <x:xf numFmtId="202" fontId="9" fillId="11" borderId="7" xfId="0" applyNumberFormat="1" applyFont="1" applyFill="1" applyBorder="1" applyAlignment="1">
      <x:alignment horizontal="center" vertical="center"/>
    </x:xf>
    <x:xf numFmtId="202" fontId="9" fillId="11" borderId="0" xfId="0" applyNumberFormat="1" applyFont="1" applyFill="1" applyBorder="1" applyAlignment="1">
      <x:alignment horizontal="center" vertical="center"/>
    </x:xf>
    <x:xf numFmtId="202" fontId="9" fillId="11" borderId="8" xfId="0" applyNumberFormat="1" applyFont="1" applyFill="1" applyBorder="1" applyAlignment="1">
      <x:alignment horizontal="center" vertical="center"/>
    </x:xf>
    <x:xf numFmtId="202" fontId="9" fillId="11" borderId="9" xfId="0" applyNumberFormat="1" applyFont="1" applyFill="1" applyBorder="1" applyAlignment="1">
      <x:alignment horizontal="center" vertical="center"/>
    </x:xf>
    <x:xf numFmtId="202" fontId="9" fillId="11" borderId="10" xfId="0" applyNumberFormat="1" applyFont="1" applyFill="1" applyBorder="1" applyAlignment="1">
      <x:alignment horizontal="center" vertical="center"/>
    </x:xf>
    <x:xf numFmtId="202" fontId="9" fillId="11" borderId="11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/>
    <x:xf numFmtId="0" fontId="10" fillId="5" borderId="4" xfId="0" applyNumberFormat="1" applyFont="1" applyFill="1" applyBorder="1"/>
    <x:xf numFmtId="0" fontId="10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0" fillId="5" borderId="9" xfId="0" applyNumberFormat="1" applyFont="1" applyFill="1" applyBorder="1"/>
    <x:xf numFmtId="0" fontId="10" fillId="5" borderId="10" xfId="0" applyNumberFormat="1" applyFont="1" applyFill="1" applyBorder="1"/>
    <x:xf numFmtId="0" fontId="10" fillId="5" borderId="11" xfId="0" applyNumberFormat="1" applyFont="1" applyFill="1" applyBorder="1"/>
    <x:xf numFmtId="203" fontId="10" fillId="5" borderId="4" xfId="0" applyNumberFormat="1" applyFont="1" applyFill="1" applyBorder="1"/>
    <x:xf numFmtId="203" fontId="10" fillId="5" borderId="5" xfId="0" applyNumberFormat="1" applyFont="1" applyFill="1" applyBorder="1"/>
    <x:xf numFmtId="203" fontId="10" fillId="5" borderId="6" xfId="0" applyNumberFormat="1" applyFont="1" applyFill="1" applyBorder="1"/>
    <x:xf numFmtId="203" fontId="10" fillId="5" borderId="7" xfId="0" applyNumberFormat="1" applyFont="1" applyFill="1" applyBorder="1"/>
    <x:xf numFmtId="203" fontId="10" fillId="5" borderId="0" xfId="0" applyNumberFormat="1" applyFont="1" applyFill="1" applyBorder="1"/>
    <x:xf numFmtId="203" fontId="10" fillId="5" borderId="8" xfId="0" applyNumberFormat="1" applyFont="1" applyFill="1" applyBorder="1"/>
    <x:xf numFmtId="203" fontId="10" fillId="5" borderId="9" xfId="0" applyNumberFormat="1" applyFont="1" applyFill="1" applyBorder="1"/>
    <x:xf numFmtId="203" fontId="10" fillId="5" borderId="10" xfId="0" applyNumberFormat="1" applyFont="1" applyFill="1" applyBorder="1"/>
    <x:xf numFmtId="203" fontId="10" fillId="5" borderId="11" xfId="0" applyNumberFormat="1" applyFont="1" applyFill="1" applyBorder="1"/>
    <x:xf numFmtId="203" fontId="10" fillId="5" borderId="4" xfId="0" applyNumberFormat="1" applyFont="1" applyFill="1" applyBorder="1" applyAlignment="1">
      <x:alignment horizontal="center"/>
    </x:xf>
    <x:xf numFmtId="203" fontId="10" fillId="5" borderId="5" xfId="0" applyNumberFormat="1" applyFont="1" applyFill="1" applyBorder="1" applyAlignment="1">
      <x:alignment horizontal="center"/>
    </x:xf>
    <x:xf numFmtId="203" fontId="10" fillId="5" borderId="6" xfId="0" applyNumberFormat="1" applyFont="1" applyFill="1" applyBorder="1" applyAlignment="1">
      <x:alignment horizontal="center"/>
    </x:xf>
    <x:xf numFmtId="203" fontId="10" fillId="5" borderId="7" xfId="0" applyNumberFormat="1" applyFont="1" applyFill="1" applyBorder="1" applyAlignment="1">
      <x:alignment horizontal="center"/>
    </x:xf>
    <x:xf numFmtId="203" fontId="10" fillId="5" borderId="0" xfId="0" applyNumberFormat="1" applyFont="1" applyFill="1" applyBorder="1" applyAlignment="1">
      <x:alignment horizontal="center"/>
    </x:xf>
    <x:xf numFmtId="203" fontId="10" fillId="5" borderId="8" xfId="0" applyNumberFormat="1" applyFont="1" applyFill="1" applyBorder="1" applyAlignment="1">
      <x:alignment horizontal="center"/>
    </x:xf>
    <x:xf numFmtId="203" fontId="10" fillId="5" borderId="9" xfId="0" applyNumberFormat="1" applyFont="1" applyFill="1" applyBorder="1" applyAlignment="1">
      <x:alignment horizontal="center"/>
    </x:xf>
    <x:xf numFmtId="203" fontId="10" fillId="5" borderId="10" xfId="0" applyNumberFormat="1" applyFont="1" applyFill="1" applyBorder="1" applyAlignment="1">
      <x:alignment horizontal="center"/>
    </x:xf>
    <x:xf numFmtId="203" fontId="10" fillId="5" borderId="11" xfId="0" applyNumberFormat="1" applyFont="1" applyFill="1" applyBorder="1" applyAlignment="1">
      <x:alignment horizontal="center"/>
    </x:xf>
    <x:xf numFmtId="203" fontId="10" fillId="5" borderId="4" xfId="0" applyNumberFormat="1" applyFont="1" applyFill="1" applyBorder="1" applyAlignment="1">
      <x:alignment horizontal="center" vertical="center"/>
    </x:xf>
    <x:xf numFmtId="203" fontId="10" fillId="5" borderId="5" xfId="0" applyNumberFormat="1" applyFont="1" applyFill="1" applyBorder="1" applyAlignment="1">
      <x:alignment horizontal="center" vertical="center"/>
    </x:xf>
    <x:xf numFmtId="203" fontId="10" fillId="5" borderId="6" xfId="0" applyNumberFormat="1" applyFont="1" applyFill="1" applyBorder="1" applyAlignment="1">
      <x:alignment horizontal="center" vertical="center"/>
    </x:xf>
    <x:xf numFmtId="203" fontId="10" fillId="5" borderId="7" xfId="0" applyNumberFormat="1" applyFont="1" applyFill="1" applyBorder="1" applyAlignment="1">
      <x:alignment horizontal="center" vertical="center"/>
    </x:xf>
    <x:xf numFmtId="203" fontId="10" fillId="5" borderId="0" xfId="0" applyNumberFormat="1" applyFont="1" applyFill="1" applyBorder="1" applyAlignment="1">
      <x:alignment horizontal="center" vertical="center"/>
    </x:xf>
    <x:xf numFmtId="203" fontId="10" fillId="5" borderId="8" xfId="0" applyNumberFormat="1" applyFont="1" applyFill="1" applyBorder="1" applyAlignment="1">
      <x:alignment horizontal="center" vertical="center"/>
    </x:xf>
    <x:xf numFmtId="203" fontId="10" fillId="5" borderId="9" xfId="0" applyNumberFormat="1" applyFont="1" applyFill="1" applyBorder="1" applyAlignment="1">
      <x:alignment horizontal="center" vertical="center"/>
    </x:xf>
    <x:xf numFmtId="203" fontId="10" fillId="5" borderId="10" xfId="0" applyNumberFormat="1" applyFont="1" applyFill="1" applyBorder="1" applyAlignment="1">
      <x:alignment horizontal="center" vertical="center"/>
    </x:xf>
    <x:xf numFmtId="203" fontId="10" fillId="5" borderId="11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1" xfId="0" applyNumberFormat="1" applyFont="1" applyFill="1" applyBorder="1"/>
    <x:xf numFmtId="0" fontId="5" fillId="12" borderId="2" xfId="0" applyNumberFormat="1" applyFont="1" applyFill="1" applyBorder="1"/>
    <x:xf numFmtId="0" fontId="5" fillId="12" borderId="3" xfId="0" applyNumberFormat="1" applyFont="1" applyFill="1" applyBorder="1"/>
    <x:xf numFmtId="0" fontId="5" fillId="12" borderId="1" xfId="0" applyNumberFormat="1" applyFont="1" applyFill="1" applyBorder="1" applyAlignment="1">
      <x:alignment horizontal="center"/>
    </x:xf>
    <x:xf numFmtId="0" fontId="5" fillId="12" borderId="2" xfId="0" applyNumberFormat="1" applyFont="1" applyFill="1" applyBorder="1" applyAlignment="1">
      <x:alignment horizontal="center"/>
    </x:xf>
    <x:xf numFmtId="0" fontId="5" fillId="12" borderId="3" xfId="0" applyNumberFormat="1" applyFont="1" applyFill="1" applyBorder="1" applyAlignment="1">
      <x:alignment horizontal="center"/>
    </x:xf>
    <x:xf numFmtId="0" fontId="5" fillId="12" borderId="1" xfId="0" applyNumberFormat="1" applyFont="1" applyFill="1" applyBorder="1" applyAlignment="1">
      <x:alignment horizontal="center" vertical="center"/>
    </x:xf>
    <x:xf numFmtId="0" fontId="5" fillId="12" borderId="2" xfId="0" applyNumberFormat="1" applyFont="1" applyFill="1" applyBorder="1" applyAlignment="1">
      <x:alignment horizontal="center" vertical="center"/>
    </x:xf>
    <x:xf numFmtId="0" fontId="5" fillId="12" borderId="3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4" xfId="0" applyNumberFormat="1" applyFont="1" applyFill="1" applyBorder="1"/>
    <x:xf numFmtId="0" fontId="11" fillId="13" borderId="5" xfId="0" applyNumberFormat="1" applyFont="1" applyFill="1" applyBorder="1"/>
    <x:xf numFmtId="0" fontId="11" fillId="13" borderId="6" xfId="0" applyNumberFormat="1" applyFont="1" applyFill="1" applyBorder="1"/>
    <x:xf numFmtId="0" fontId="11" fillId="13" borderId="7" xfId="0" applyNumberFormat="1" applyFont="1" applyFill="1" applyBorder="1"/>
    <x:xf numFmtId="0" fontId="11" fillId="13" borderId="8" xfId="0" applyNumberFormat="1" applyFont="1" applyFill="1" applyBorder="1"/>
    <x:xf numFmtId="0" fontId="11" fillId="13" borderId="9" xfId="0" applyNumberFormat="1" applyFont="1" applyFill="1" applyBorder="1"/>
    <x:xf numFmtId="0" fontId="11" fillId="13" borderId="10" xfId="0" applyNumberFormat="1" applyFont="1" applyFill="1" applyBorder="1"/>
    <x:xf numFmtId="0" fontId="11" fillId="13" borderId="11" xfId="0" applyNumberFormat="1" applyFont="1" applyFill="1" applyBorder="1"/>
    <x:xf numFmtId="203" fontId="11" fillId="13" borderId="4" xfId="0" applyNumberFormat="1" applyFont="1" applyFill="1" applyBorder="1"/>
    <x:xf numFmtId="203" fontId="11" fillId="13" borderId="5" xfId="0" applyNumberFormat="1" applyFont="1" applyFill="1" applyBorder="1"/>
    <x:xf numFmtId="203" fontId="11" fillId="13" borderId="6" xfId="0" applyNumberFormat="1" applyFont="1" applyFill="1" applyBorder="1"/>
    <x:xf numFmtId="203" fontId="11" fillId="13" borderId="7" xfId="0" applyNumberFormat="1" applyFont="1" applyFill="1" applyBorder="1"/>
    <x:xf numFmtId="203" fontId="11" fillId="13" borderId="0" xfId="0" applyNumberFormat="1" applyFont="1" applyFill="1" applyBorder="1"/>
    <x:xf numFmtId="203" fontId="11" fillId="13" borderId="8" xfId="0" applyNumberFormat="1" applyFont="1" applyFill="1" applyBorder="1"/>
    <x:xf numFmtId="203" fontId="11" fillId="13" borderId="9" xfId="0" applyNumberFormat="1" applyFont="1" applyFill="1" applyBorder="1"/>
    <x:xf numFmtId="203" fontId="11" fillId="13" borderId="10" xfId="0" applyNumberFormat="1" applyFont="1" applyFill="1" applyBorder="1"/>
    <x:xf numFmtId="203" fontId="11" fillId="13" borderId="11" xfId="0" applyNumberFormat="1" applyFont="1" applyFill="1" applyBorder="1"/>
    <x:xf numFmtId="203" fontId="11" fillId="13" borderId="4" xfId="0" applyNumberFormat="1" applyFont="1" applyFill="1" applyBorder="1" applyAlignment="1">
      <x:alignment horizontal="center"/>
    </x:xf>
    <x:xf numFmtId="203" fontId="11" fillId="13" borderId="5" xfId="0" applyNumberFormat="1" applyFont="1" applyFill="1" applyBorder="1" applyAlignment="1">
      <x:alignment horizontal="center"/>
    </x:xf>
    <x:xf numFmtId="203" fontId="11" fillId="13" borderId="6" xfId="0" applyNumberFormat="1" applyFont="1" applyFill="1" applyBorder="1" applyAlignment="1">
      <x:alignment horizontal="center"/>
    </x:xf>
    <x:xf numFmtId="203" fontId="11" fillId="13" borderId="7" xfId="0" applyNumberFormat="1" applyFont="1" applyFill="1" applyBorder="1" applyAlignment="1">
      <x:alignment horizontal="center"/>
    </x:xf>
    <x:xf numFmtId="203" fontId="11" fillId="13" borderId="0" xfId="0" applyNumberFormat="1" applyFont="1" applyFill="1" applyBorder="1" applyAlignment="1">
      <x:alignment horizontal="center"/>
    </x:xf>
    <x:xf numFmtId="203" fontId="11" fillId="13" borderId="8" xfId="0" applyNumberFormat="1" applyFont="1" applyFill="1" applyBorder="1" applyAlignment="1">
      <x:alignment horizontal="center"/>
    </x:xf>
    <x:xf numFmtId="203" fontId="11" fillId="13" borderId="9" xfId="0" applyNumberFormat="1" applyFont="1" applyFill="1" applyBorder="1" applyAlignment="1">
      <x:alignment horizontal="center"/>
    </x:xf>
    <x:xf numFmtId="203" fontId="11" fillId="13" borderId="10" xfId="0" applyNumberFormat="1" applyFont="1" applyFill="1" applyBorder="1" applyAlignment="1">
      <x:alignment horizontal="center"/>
    </x:xf>
    <x:xf numFmtId="203" fontId="11" fillId="13" borderId="11" xfId="0" applyNumberFormat="1" applyFont="1" applyFill="1" applyBorder="1" applyAlignment="1">
      <x:alignment horizontal="center"/>
    </x:xf>
    <x:xf numFmtId="203" fontId="11" fillId="13" borderId="4" xfId="0" applyNumberFormat="1" applyFont="1" applyFill="1" applyBorder="1" applyAlignment="1">
      <x:alignment horizontal="center" vertical="center"/>
    </x:xf>
    <x:xf numFmtId="203" fontId="11" fillId="13" borderId="5" xfId="0" applyNumberFormat="1" applyFont="1" applyFill="1" applyBorder="1" applyAlignment="1">
      <x:alignment horizontal="center" vertical="center"/>
    </x:xf>
    <x:xf numFmtId="203" fontId="11" fillId="13" borderId="6" xfId="0" applyNumberFormat="1" applyFont="1" applyFill="1" applyBorder="1" applyAlignment="1">
      <x:alignment horizontal="center" vertical="center"/>
    </x:xf>
    <x:xf numFmtId="203" fontId="11" fillId="13" borderId="7" xfId="0" applyNumberFormat="1" applyFont="1" applyFill="1" applyBorder="1" applyAlignment="1">
      <x:alignment horizontal="center" vertical="center"/>
    </x:xf>
    <x:xf numFmtId="203" fontId="11" fillId="13" borderId="0" xfId="0" applyNumberFormat="1" applyFont="1" applyFill="1" applyBorder="1" applyAlignment="1">
      <x:alignment horizontal="center" vertical="center"/>
    </x:xf>
    <x:xf numFmtId="203" fontId="11" fillId="13" borderId="8" xfId="0" applyNumberFormat="1" applyFont="1" applyFill="1" applyBorder="1" applyAlignment="1">
      <x:alignment horizontal="center" vertical="center"/>
    </x:xf>
    <x:xf numFmtId="203" fontId="11" fillId="13" borderId="9" xfId="0" applyNumberFormat="1" applyFont="1" applyFill="1" applyBorder="1" applyAlignment="1">
      <x:alignment horizontal="center" vertical="center"/>
    </x:xf>
    <x:xf numFmtId="203" fontId="11" fillId="13" borderId="10" xfId="0" applyNumberFormat="1" applyFont="1" applyFill="1" applyBorder="1" applyAlignment="1">
      <x:alignment horizontal="center" vertical="center"/>
    </x:xf>
    <x:xf numFmtId="203" fontId="11" fillId="13" borderId="11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1" xfId="0" applyNumberFormat="1" applyFont="1" applyFill="1" applyBorder="1"/>
    <x:xf numFmtId="0" fontId="5" fillId="14" borderId="2" xfId="0" applyNumberFormat="1" applyFont="1" applyFill="1" applyBorder="1"/>
    <x:xf numFmtId="0" fontId="5" fillId="14" borderId="3" xfId="0" applyNumberFormat="1" applyFont="1" applyFill="1" applyBorder="1"/>
    <x:xf numFmtId="0" fontId="5" fillId="14" borderId="1" xfId="0" applyNumberFormat="1" applyFont="1" applyFill="1" applyBorder="1" applyAlignment="1">
      <x:alignment horizontal="center"/>
    </x:xf>
    <x:xf numFmtId="0" fontId="5" fillId="14" borderId="2" xfId="0" applyNumberFormat="1" applyFont="1" applyFill="1" applyBorder="1" applyAlignment="1">
      <x:alignment horizontal="center"/>
    </x:xf>
    <x:xf numFmtId="0" fontId="5" fillId="14" borderId="3" xfId="0" applyNumberFormat="1" applyFont="1" applyFill="1" applyBorder="1" applyAlignment="1">
      <x:alignment horizontal="center"/>
    </x:xf>
    <x:xf numFmtId="0" fontId="5" fillId="14" borderId="1" xfId="0" applyNumberFormat="1" applyFont="1" applyFill="1" applyBorder="1" applyAlignment="1">
      <x:alignment horizontal="center" vertical="center"/>
    </x:xf>
    <x:xf numFmtId="0" fontId="5" fillId="14" borderId="2" xfId="0" applyNumberFormat="1" applyFont="1" applyFill="1" applyBorder="1" applyAlignment="1">
      <x:alignment horizontal="center" vertical="center"/>
    </x:xf>
    <x:xf numFmtId="0" fontId="5" fillId="14" borderId="3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/>
    <x:xf numFmtId="0" fontId="12" fillId="9" borderId="4" xfId="0" applyNumberFormat="1" applyFont="1" applyFill="1" applyBorder="1"/>
    <x:xf numFmtId="0" fontId="12" fillId="9" borderId="5" xfId="0" applyNumberFormat="1" applyFont="1" applyFill="1" applyBorder="1"/>
    <x:xf numFmtId="0" fontId="12" fillId="9" borderId="6" xfId="0" applyNumberFormat="1" applyFont="1" applyFill="1" applyBorder="1"/>
    <x:xf numFmtId="0" fontId="12" fillId="9" borderId="7" xfId="0" applyNumberFormat="1" applyFont="1" applyFill="1" applyBorder="1"/>
    <x:xf numFmtId="0" fontId="12" fillId="9" borderId="8" xfId="0" applyNumberFormat="1" applyFont="1" applyFill="1" applyBorder="1"/>
    <x:xf numFmtId="0" fontId="12" fillId="9" borderId="9" xfId="0" applyNumberFormat="1" applyFont="1" applyFill="1" applyBorder="1"/>
    <x:xf numFmtId="0" fontId="12" fillId="9" borderId="10" xfId="0" applyNumberFormat="1" applyFont="1" applyFill="1" applyBorder="1"/>
    <x:xf numFmtId="0" fontId="12" fillId="9" borderId="11" xfId="0" applyNumberFormat="1" applyFont="1" applyFill="1" applyBorder="1"/>
    <x:xf numFmtId="203" fontId="12" fillId="9" borderId="4" xfId="0" applyNumberFormat="1" applyFont="1" applyFill="1" applyBorder="1"/>
    <x:xf numFmtId="203" fontId="12" fillId="9" borderId="5" xfId="0" applyNumberFormat="1" applyFont="1" applyFill="1" applyBorder="1"/>
    <x:xf numFmtId="203" fontId="12" fillId="9" borderId="6" xfId="0" applyNumberFormat="1" applyFont="1" applyFill="1" applyBorder="1"/>
    <x:xf numFmtId="203" fontId="12" fillId="9" borderId="7" xfId="0" applyNumberFormat="1" applyFont="1" applyFill="1" applyBorder="1"/>
    <x:xf numFmtId="203" fontId="12" fillId="9" borderId="0" xfId="0" applyNumberFormat="1" applyFont="1" applyFill="1" applyBorder="1"/>
    <x:xf numFmtId="203" fontId="12" fillId="9" borderId="8" xfId="0" applyNumberFormat="1" applyFont="1" applyFill="1" applyBorder="1"/>
    <x:xf numFmtId="203" fontId="12" fillId="9" borderId="9" xfId="0" applyNumberFormat="1" applyFont="1" applyFill="1" applyBorder="1"/>
    <x:xf numFmtId="203" fontId="12" fillId="9" borderId="10" xfId="0" applyNumberFormat="1" applyFont="1" applyFill="1" applyBorder="1"/>
    <x:xf numFmtId="203" fontId="12" fillId="9" borderId="11" xfId="0" applyNumberFormat="1" applyFont="1" applyFill="1" applyBorder="1"/>
    <x:xf numFmtId="203" fontId="12" fillId="9" borderId="4" xfId="0" applyNumberFormat="1" applyFont="1" applyFill="1" applyBorder="1" applyAlignment="1">
      <x:alignment horizontal="center"/>
    </x:xf>
    <x:xf numFmtId="203" fontId="12" fillId="9" borderId="5" xfId="0" applyNumberFormat="1" applyFont="1" applyFill="1" applyBorder="1" applyAlignment="1">
      <x:alignment horizontal="center"/>
    </x:xf>
    <x:xf numFmtId="203" fontId="12" fillId="9" borderId="6" xfId="0" applyNumberFormat="1" applyFont="1" applyFill="1" applyBorder="1" applyAlignment="1">
      <x:alignment horizontal="center"/>
    </x:xf>
    <x:xf numFmtId="203" fontId="12" fillId="9" borderId="7" xfId="0" applyNumberFormat="1" applyFont="1" applyFill="1" applyBorder="1" applyAlignment="1">
      <x:alignment horizontal="center"/>
    </x:xf>
    <x:xf numFmtId="203" fontId="12" fillId="9" borderId="0" xfId="0" applyNumberFormat="1" applyFont="1" applyFill="1" applyBorder="1" applyAlignment="1">
      <x:alignment horizontal="center"/>
    </x:xf>
    <x:xf numFmtId="203" fontId="12" fillId="9" borderId="8" xfId="0" applyNumberFormat="1" applyFont="1" applyFill="1" applyBorder="1" applyAlignment="1">
      <x:alignment horizontal="center"/>
    </x:xf>
    <x:xf numFmtId="203" fontId="12" fillId="9" borderId="9" xfId="0" applyNumberFormat="1" applyFont="1" applyFill="1" applyBorder="1" applyAlignment="1">
      <x:alignment horizontal="center"/>
    </x:xf>
    <x:xf numFmtId="203" fontId="12" fillId="9" borderId="10" xfId="0" applyNumberFormat="1" applyFont="1" applyFill="1" applyBorder="1" applyAlignment="1">
      <x:alignment horizontal="center"/>
    </x:xf>
    <x:xf numFmtId="203" fontId="12" fillId="9" borderId="11" xfId="0" applyNumberFormat="1" applyFont="1" applyFill="1" applyBorder="1" applyAlignment="1">
      <x:alignment horizontal="center"/>
    </x:xf>
    <x:xf numFmtId="203" fontId="12" fillId="9" borderId="4" xfId="0" applyNumberFormat="1" applyFont="1" applyFill="1" applyBorder="1" applyAlignment="1">
      <x:alignment horizontal="center" vertical="center"/>
    </x:xf>
    <x:xf numFmtId="203" fontId="12" fillId="9" borderId="5" xfId="0" applyNumberFormat="1" applyFont="1" applyFill="1" applyBorder="1" applyAlignment="1">
      <x:alignment horizontal="center" vertical="center"/>
    </x:xf>
    <x:xf numFmtId="203" fontId="12" fillId="9" borderId="6" xfId="0" applyNumberFormat="1" applyFont="1" applyFill="1" applyBorder="1" applyAlignment="1">
      <x:alignment horizontal="center" vertical="center"/>
    </x:xf>
    <x:xf numFmtId="203" fontId="12" fillId="9" borderId="7" xfId="0" applyNumberFormat="1" applyFont="1" applyFill="1" applyBorder="1" applyAlignment="1">
      <x:alignment horizontal="center" vertical="center"/>
    </x:xf>
    <x:xf numFmtId="203" fontId="12" fillId="9" borderId="0" xfId="0" applyNumberFormat="1" applyFont="1" applyFill="1" applyBorder="1" applyAlignment="1">
      <x:alignment horizontal="center" vertical="center"/>
    </x:xf>
    <x:xf numFmtId="203" fontId="12" fillId="9" borderId="8" xfId="0" applyNumberFormat="1" applyFont="1" applyFill="1" applyBorder="1" applyAlignment="1">
      <x:alignment horizontal="center" vertical="center"/>
    </x:xf>
    <x:xf numFmtId="203" fontId="12" fillId="9" borderId="9" xfId="0" applyNumberFormat="1" applyFont="1" applyFill="1" applyBorder="1" applyAlignment="1">
      <x:alignment horizontal="center" vertical="center"/>
    </x:xf>
    <x:xf numFmtId="203" fontId="12" fillId="9" borderId="10" xfId="0" applyNumberFormat="1" applyFont="1" applyFill="1" applyBorder="1" applyAlignment="1">
      <x:alignment horizontal="center" vertical="center"/>
    </x:xf>
    <x:xf numFmtId="203" fontId="12" fillId="9" borderId="11" xfId="0" applyNumberFormat="1" applyFont="1" applyFill="1" applyBorder="1" applyAlignment="1">
      <x:alignment horizontal="center" vertical="center"/>
    </x:xf>
    <x:xf numFmtId="0" fontId="13" fillId="14" borderId="0" xfId="0" applyNumberFormat="1" applyFont="1" applyFill="1" applyBorder="1"/>
    <x:xf numFmtId="0" fontId="13" fillId="14" borderId="12" xfId="0" applyNumberFormat="1" applyFont="1" applyFill="1" applyBorder="1"/>
    <x:xf numFmtId="0" fontId="13" fillId="14" borderId="13" xfId="0" applyNumberFormat="1" applyFont="1" applyFill="1" applyBorder="1"/>
    <x:xf numFmtId="0" fontId="13" fillId="14" borderId="14" xfId="0" applyNumberFormat="1" applyFont="1" applyFill="1" applyBorder="1"/>
    <x:xf numFmtId="0" fontId="13" fillId="14" borderId="12" xfId="0" applyNumberFormat="1" applyFont="1" applyFill="1" applyBorder="1" applyAlignment="1">
      <x:alignment vertical="center"/>
    </x:xf>
    <x:xf numFmtId="0" fontId="13" fillId="14" borderId="13" xfId="0" applyNumberFormat="1" applyFont="1" applyFill="1" applyBorder="1" applyAlignment="1">
      <x:alignment vertical="center"/>
    </x:xf>
    <x:xf numFmtId="0" fontId="13" fillId="14" borderId="14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10" xfId="0" applyNumberFormat="1" applyFont="1" applyFill="1" applyBorder="1"/>
    <x:xf numFmtId="201" fontId="0" fillId="0" borderId="10" xfId="0" applyNumberFormat="1" applyFont="1" applyFill="1" applyBorder="1"/>
    <x:xf numFmtId="202" fontId="0" fillId="0" borderId="10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0" fillId="11" borderId="2" xfId="0" applyNumberFormat="1" applyFont="1" applyFill="1" applyBorder="1"/>
    <x:xf numFmtId="201" fontId="0" fillId="11" borderId="2" xfId="0" applyNumberFormat="1" applyFont="1" applyFill="1" applyBorder="1"/>
    <x:xf numFmtId="202" fontId="0" fillId="11" borderId="2" xfId="0" applyNumberFormat="1" applyFont="1" applyFill="1" applyBorder="1"/>
    <x:xf numFmtId="0" fontId="14" fillId="11" borderId="2" xfId="0" applyNumberFormat="1" applyFont="1" applyFill="1" applyBorder="1"/>
    <x:xf numFmtId="201" fontId="14" fillId="11" borderId="2" xfId="0" applyNumberFormat="1" applyFont="1" applyFill="1" applyBorder="1"/>
    <x:xf numFmtId="202" fontId="14" fillId="11" borderId="2" xfId="0" applyNumberFormat="1" applyFont="1" applyFill="1" applyBorder="1"/>
    <x:xf numFmtId="0" fontId="0" fillId="9" borderId="2" xfId="0" applyNumberFormat="1" applyFont="1" applyFill="1" applyBorder="1"/>
    <x:xf numFmtId="201" fontId="0" fillId="9" borderId="2" xfId="0" applyNumberFormat="1" applyFont="1" applyFill="1" applyBorder="1"/>
    <x:xf numFmtId="202" fontId="0" fillId="9" borderId="2" xfId="0" applyNumberFormat="1" applyFont="1" applyFill="1" applyBorder="1"/>
    <x:xf numFmtId="0" fontId="15" fillId="9" borderId="2" xfId="0" applyNumberFormat="1" applyFont="1" applyFill="1" applyBorder="1"/>
    <x:xf numFmtId="201" fontId="15" fillId="9" borderId="2" xfId="0" applyNumberFormat="1" applyFont="1" applyFill="1" applyBorder="1"/>
    <x:xf numFmtId="202" fontId="15" fillId="9" borderId="2" xfId="0" applyNumberFormat="1" applyFont="1" applyFill="1" applyBorder="1"/>
    <x:xf numFmtId="0" fontId="13" fillId="6" borderId="0" xfId="0" applyNumberFormat="1" applyFont="1" applyFill="1" applyBorder="1"/>
    <x:xf numFmtId="0" fontId="13" fillId="6" borderId="15" xfId="0" applyNumberFormat="1" applyFont="1" applyFill="1" applyBorder="1"/>
    <x:xf numFmtId="0" fontId="13" fillId="6" borderId="16" xfId="0" applyNumberFormat="1" applyFont="1" applyFill="1" applyBorder="1"/>
    <x:xf numFmtId="0" fontId="13" fillId="6" borderId="17" xfId="0" applyNumberFormat="1" applyFont="1" applyFill="1" applyBorder="1"/>
    <x:xf numFmtId="0" fontId="13" fillId="6" borderId="15" xfId="0" applyNumberFormat="1" applyFont="1" applyFill="1" applyBorder="1" applyAlignment="1">
      <x:alignment vertical="center"/>
    </x:xf>
    <x:xf numFmtId="0" fontId="13" fillId="6" borderId="16" xfId="0" applyNumberFormat="1" applyFont="1" applyFill="1" applyBorder="1" applyAlignment="1">
      <x:alignment vertical="center"/>
    </x:xf>
    <x:xf numFmtId="0" fontId="13" fillId="6" borderId="17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201" fontId="0" fillId="0" borderId="18" xfId="0" applyNumberFormat="1" applyFont="1" applyFill="1" applyBorder="1"/>
    <x:xf numFmtId="0" fontId="0" fillId="0" borderId="9" xfId="0" applyNumberFormat="1" applyFont="1" applyFill="1" applyBorder="1"/>
    <x:xf numFmtId="0" fontId="0" fillId="0" borderId="3" xfId="0" applyNumberFormat="1" applyFont="1" applyFill="1" applyBorder="1"/>
    <x:xf numFmtId="201" fontId="0" fillId="0" borderId="19" xfId="0" applyNumberFormat="1" applyFont="1" applyFill="1" applyBorder="1"/>
    <x:xf numFmtId="0" fontId="0" fillId="0" borderId="1" xfId="0" applyNumberFormat="1" applyFont="1" applyFill="1" applyBorder="1"/>
    <x:xf numFmtId="201" fontId="0" fillId="0" borderId="18" xfId="0" applyNumberFormat="1" applyFont="1" applyFill="1" applyBorder="1" applyAlignment="1">
      <x:alignment horizontal="right"/>
    </x:xf>
    <x:xf numFmtId="201" fontId="0" fillId="0" borderId="19" xfId="0" applyNumberFormat="1" applyFont="1" applyFill="1" applyBorder="1" applyAlignment="1">
      <x:alignment horizontal="right"/>
    </x:xf>
    <x:xf numFmtId="0" fontId="0" fillId="0" borderId="9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6" fillId="9" borderId="0" xfId="0" applyNumberFormat="1" applyFont="1" applyFill="1" applyBorder="1"/>
    <x:xf numFmtId="0" fontId="16" fillId="9" borderId="4" xfId="0" applyNumberFormat="1" applyFont="1" applyFill="1" applyBorder="1"/>
    <x:xf numFmtId="0" fontId="16" fillId="9" borderId="5" xfId="0" applyNumberFormat="1" applyFont="1" applyFill="1" applyBorder="1"/>
    <x:xf numFmtId="0" fontId="16" fillId="9" borderId="6" xfId="0" applyNumberFormat="1" applyFont="1" applyFill="1" applyBorder="1"/>
    <x:xf numFmtId="0" fontId="16" fillId="9" borderId="7" xfId="0" applyNumberFormat="1" applyFont="1" applyFill="1" applyBorder="1"/>
    <x:xf numFmtId="0" fontId="16" fillId="9" borderId="8" xfId="0" applyNumberFormat="1" applyFont="1" applyFill="1" applyBorder="1"/>
    <x:xf numFmtId="0" fontId="16" fillId="9" borderId="9" xfId="0" applyNumberFormat="1" applyFont="1" applyFill="1" applyBorder="1"/>
    <x:xf numFmtId="0" fontId="16" fillId="9" borderId="10" xfId="0" applyNumberFormat="1" applyFont="1" applyFill="1" applyBorder="1"/>
    <x:xf numFmtId="0" fontId="16" fillId="9" borderId="11" xfId="0" applyNumberFormat="1" applyFont="1" applyFill="1" applyBorder="1"/>
    <x:xf numFmtId="201" fontId="16" fillId="9" borderId="4" xfId="0" applyNumberFormat="1" applyFont="1" applyFill="1" applyBorder="1"/>
    <x:xf numFmtId="201" fontId="16" fillId="9" borderId="5" xfId="0" applyNumberFormat="1" applyFont="1" applyFill="1" applyBorder="1"/>
    <x:xf numFmtId="201" fontId="16" fillId="9" borderId="6" xfId="0" applyNumberFormat="1" applyFont="1" applyFill="1" applyBorder="1"/>
    <x:xf numFmtId="201" fontId="16" fillId="9" borderId="7" xfId="0" applyNumberFormat="1" applyFont="1" applyFill="1" applyBorder="1"/>
    <x:xf numFmtId="201" fontId="16" fillId="9" borderId="0" xfId="0" applyNumberFormat="1" applyFont="1" applyFill="1" applyBorder="1"/>
    <x:xf numFmtId="201" fontId="16" fillId="9" borderId="8" xfId="0" applyNumberFormat="1" applyFont="1" applyFill="1" applyBorder="1"/>
    <x:xf numFmtId="201" fontId="16" fillId="9" borderId="9" xfId="0" applyNumberFormat="1" applyFont="1" applyFill="1" applyBorder="1"/>
    <x:xf numFmtId="201" fontId="16" fillId="9" borderId="10" xfId="0" applyNumberFormat="1" applyFont="1" applyFill="1" applyBorder="1"/>
    <x:xf numFmtId="201" fontId="16" fillId="9" borderId="11" xfId="0" applyNumberFormat="1" applyFont="1" applyFill="1" applyBorder="1"/>
    <x:xf numFmtId="201" fontId="16" fillId="9" borderId="4" xfId="0" applyNumberFormat="1" applyFont="1" applyFill="1" applyBorder="1" applyAlignment="1">
      <x:alignment horizontal="center"/>
    </x:xf>
    <x:xf numFmtId="201" fontId="16" fillId="9" borderId="5" xfId="0" applyNumberFormat="1" applyFont="1" applyFill="1" applyBorder="1" applyAlignment="1">
      <x:alignment horizontal="center"/>
    </x:xf>
    <x:xf numFmtId="201" fontId="16" fillId="9" borderId="6" xfId="0" applyNumberFormat="1" applyFont="1" applyFill="1" applyBorder="1" applyAlignment="1">
      <x:alignment horizontal="center"/>
    </x:xf>
    <x:xf numFmtId="201" fontId="16" fillId="9" borderId="7" xfId="0" applyNumberFormat="1" applyFont="1" applyFill="1" applyBorder="1" applyAlignment="1">
      <x:alignment horizontal="center"/>
    </x:xf>
    <x:xf numFmtId="201" fontId="16" fillId="9" borderId="0" xfId="0" applyNumberFormat="1" applyFont="1" applyFill="1" applyBorder="1" applyAlignment="1">
      <x:alignment horizontal="center"/>
    </x:xf>
    <x:xf numFmtId="201" fontId="16" fillId="9" borderId="8" xfId="0" applyNumberFormat="1" applyFont="1" applyFill="1" applyBorder="1" applyAlignment="1">
      <x:alignment horizontal="center"/>
    </x:xf>
    <x:xf numFmtId="201" fontId="16" fillId="9" borderId="9" xfId="0" applyNumberFormat="1" applyFont="1" applyFill="1" applyBorder="1" applyAlignment="1">
      <x:alignment horizontal="center"/>
    </x:xf>
    <x:xf numFmtId="201" fontId="16" fillId="9" borderId="10" xfId="0" applyNumberFormat="1" applyFont="1" applyFill="1" applyBorder="1" applyAlignment="1">
      <x:alignment horizontal="center"/>
    </x:xf>
    <x:xf numFmtId="201" fontId="16" fillId="9" borderId="11" xfId="0" applyNumberFormat="1" applyFont="1" applyFill="1" applyBorder="1" applyAlignment="1">
      <x:alignment horizontal="center"/>
    </x:xf>
    <x:xf numFmtId="201" fontId="16" fillId="9" borderId="4" xfId="0" applyNumberFormat="1" applyFont="1" applyFill="1" applyBorder="1" applyAlignment="1">
      <x:alignment horizontal="center" vertical="center"/>
    </x:xf>
    <x:xf numFmtId="201" fontId="16" fillId="9" borderId="5" xfId="0" applyNumberFormat="1" applyFont="1" applyFill="1" applyBorder="1" applyAlignment="1">
      <x:alignment horizontal="center" vertical="center"/>
    </x:xf>
    <x:xf numFmtId="201" fontId="16" fillId="9" borderId="6" xfId="0" applyNumberFormat="1" applyFont="1" applyFill="1" applyBorder="1" applyAlignment="1">
      <x:alignment horizontal="center" vertical="center"/>
    </x:xf>
    <x:xf numFmtId="201" fontId="16" fillId="9" borderId="7" xfId="0" applyNumberFormat="1" applyFont="1" applyFill="1" applyBorder="1" applyAlignment="1">
      <x:alignment horizontal="center" vertical="center"/>
    </x:xf>
    <x:xf numFmtId="201" fontId="16" fillId="9" borderId="0" xfId="0" applyNumberFormat="1" applyFont="1" applyFill="1" applyBorder="1" applyAlignment="1">
      <x:alignment horizontal="center" vertical="center"/>
    </x:xf>
    <x:xf numFmtId="201" fontId="16" fillId="9" borderId="8" xfId="0" applyNumberFormat="1" applyFont="1" applyFill="1" applyBorder="1" applyAlignment="1">
      <x:alignment horizontal="center" vertical="center"/>
    </x:xf>
    <x:xf numFmtId="201" fontId="16" fillId="9" borderId="9" xfId="0" applyNumberFormat="1" applyFont="1" applyFill="1" applyBorder="1" applyAlignment="1">
      <x:alignment horizontal="center" vertical="center"/>
    </x:xf>
    <x:xf numFmtId="201" fontId="16" fillId="9" borderId="10" xfId="0" applyNumberFormat="1" applyFont="1" applyFill="1" applyBorder="1" applyAlignment="1">
      <x:alignment horizontal="center" vertical="center"/>
    </x:xf>
    <x:xf numFmtId="201" fontId="16" fillId="9" borderId="11" xfId="0" applyNumberFormat="1" applyFont="1" applyFill="1" applyBorder="1" applyAlignment="1">
      <x:alignment horizontal="center" vertical="center"/>
    </x:xf>
    <x:xf numFmtId="0" fontId="17" fillId="11" borderId="0" xfId="0" applyNumberFormat="1" applyFont="1" applyFill="1" applyBorder="1"/>
    <x:xf numFmtId="0" fontId="17" fillId="11" borderId="4" xfId="0" applyNumberFormat="1" applyFont="1" applyFill="1" applyBorder="1"/>
    <x:xf numFmtId="0" fontId="17" fillId="11" borderId="5" xfId="0" applyNumberFormat="1" applyFont="1" applyFill="1" applyBorder="1"/>
    <x:xf numFmtId="0" fontId="17" fillId="11" borderId="6" xfId="0" applyNumberFormat="1" applyFont="1" applyFill="1" applyBorder="1"/>
    <x:xf numFmtId="0" fontId="17" fillId="11" borderId="7" xfId="0" applyNumberFormat="1" applyFont="1" applyFill="1" applyBorder="1"/>
    <x:xf numFmtId="0" fontId="17" fillId="11" borderId="8" xfId="0" applyNumberFormat="1" applyFont="1" applyFill="1" applyBorder="1"/>
    <x:xf numFmtId="0" fontId="17" fillId="11" borderId="9" xfId="0" applyNumberFormat="1" applyFont="1" applyFill="1" applyBorder="1"/>
    <x:xf numFmtId="0" fontId="17" fillId="11" borderId="10" xfId="0" applyNumberFormat="1" applyFont="1" applyFill="1" applyBorder="1"/>
    <x:xf numFmtId="0" fontId="17" fillId="11" borderId="11" xfId="0" applyNumberFormat="1" applyFont="1" applyFill="1" applyBorder="1"/>
    <x:xf numFmtId="0" fontId="17" fillId="11" borderId="4" xfId="0" applyNumberFormat="1" applyFont="1" applyFill="1" applyBorder="1" applyAlignment="1">
      <x:alignment wrapText="1"/>
    </x:xf>
    <x:xf numFmtId="0" fontId="17" fillId="11" borderId="5" xfId="0" applyNumberFormat="1" applyFont="1" applyFill="1" applyBorder="1" applyAlignment="1">
      <x:alignment wrapText="1"/>
    </x:xf>
    <x:xf numFmtId="0" fontId="17" fillId="11" borderId="6" xfId="0" applyNumberFormat="1" applyFont="1" applyFill="1" applyBorder="1" applyAlignment="1">
      <x:alignment wrapText="1"/>
    </x:xf>
    <x:xf numFmtId="0" fontId="17" fillId="11" borderId="7" xfId="0" applyNumberFormat="1" applyFont="1" applyFill="1" applyBorder="1" applyAlignment="1">
      <x:alignment wrapText="1"/>
    </x:xf>
    <x:xf numFmtId="0" fontId="17" fillId="11" borderId="0" xfId="0" applyNumberFormat="1" applyFont="1" applyFill="1" applyBorder="1" applyAlignment="1">
      <x:alignment wrapText="1"/>
    </x:xf>
    <x:xf numFmtId="0" fontId="17" fillId="11" borderId="8" xfId="0" applyNumberFormat="1" applyFont="1" applyFill="1" applyBorder="1" applyAlignment="1">
      <x:alignment wrapText="1"/>
    </x:xf>
    <x:xf numFmtId="0" fontId="17" fillId="11" borderId="9" xfId="0" applyNumberFormat="1" applyFont="1" applyFill="1" applyBorder="1" applyAlignment="1">
      <x:alignment wrapText="1"/>
    </x:xf>
    <x:xf numFmtId="0" fontId="17" fillId="11" borderId="10" xfId="0" applyNumberFormat="1" applyFont="1" applyFill="1" applyBorder="1" applyAlignment="1">
      <x:alignment wrapText="1"/>
    </x:xf>
    <x:xf numFmtId="0" fontId="17" fillId="11" borderId="11" xfId="0" applyNumberFormat="1" applyFont="1" applyFill="1" applyBorder="1" applyAlignment="1">
      <x:alignment wrapText="1"/>
    </x:xf>
    <x:xf numFmtId="0" fontId="17" fillId="11" borderId="4" xfId="0" applyNumberFormat="1" applyFont="1" applyFill="1" applyBorder="1" applyAlignment="1">
      <x:alignment horizontal="left" wrapText="1"/>
    </x:xf>
    <x:xf numFmtId="0" fontId="17" fillId="11" borderId="5" xfId="0" applyNumberFormat="1" applyFont="1" applyFill="1" applyBorder="1" applyAlignment="1">
      <x:alignment horizontal="left" wrapText="1"/>
    </x:xf>
    <x:xf numFmtId="0" fontId="17" fillId="11" borderId="6" xfId="0" applyNumberFormat="1" applyFont="1" applyFill="1" applyBorder="1" applyAlignment="1">
      <x:alignment horizontal="left" wrapText="1"/>
    </x:xf>
    <x:xf numFmtId="0" fontId="17" fillId="11" borderId="7" xfId="0" applyNumberFormat="1" applyFont="1" applyFill="1" applyBorder="1" applyAlignment="1">
      <x:alignment horizontal="left" wrapText="1"/>
    </x:xf>
    <x:xf numFmtId="0" fontId="17" fillId="11" borderId="0" xfId="0" applyNumberFormat="1" applyFont="1" applyFill="1" applyBorder="1" applyAlignment="1">
      <x:alignment horizontal="left" wrapText="1"/>
    </x:xf>
    <x:xf numFmtId="0" fontId="17" fillId="11" borderId="8" xfId="0" applyNumberFormat="1" applyFont="1" applyFill="1" applyBorder="1" applyAlignment="1">
      <x:alignment horizontal="left" wrapText="1"/>
    </x:xf>
    <x:xf numFmtId="0" fontId="17" fillId="11" borderId="9" xfId="0" applyNumberFormat="1" applyFont="1" applyFill="1" applyBorder="1" applyAlignment="1">
      <x:alignment horizontal="left" wrapText="1"/>
    </x:xf>
    <x:xf numFmtId="0" fontId="17" fillId="11" borderId="10" xfId="0" applyNumberFormat="1" applyFont="1" applyFill="1" applyBorder="1" applyAlignment="1">
      <x:alignment horizontal="left" wrapText="1"/>
    </x:xf>
    <x:xf numFmtId="0" fontId="17" fillId="11" borderId="11" xfId="0" applyNumberFormat="1" applyFont="1" applyFill="1" applyBorder="1" applyAlignment="1">
      <x:alignment horizontal="left" wrapText="1"/>
    </x:xf>
    <x:xf numFmtId="0" fontId="17" fillId="11" borderId="4" xfId="0" applyNumberFormat="1" applyFont="1" applyFill="1" applyBorder="1" applyAlignment="1">
      <x:alignment horizontal="left" vertical="center" wrapText="1"/>
    </x:xf>
    <x:xf numFmtId="0" fontId="17" fillId="11" borderId="5" xfId="0" applyNumberFormat="1" applyFont="1" applyFill="1" applyBorder="1" applyAlignment="1">
      <x:alignment horizontal="left" vertical="center" wrapText="1"/>
    </x:xf>
    <x:xf numFmtId="0" fontId="17" fillId="11" borderId="6" xfId="0" applyNumberFormat="1" applyFont="1" applyFill="1" applyBorder="1" applyAlignment="1">
      <x:alignment horizontal="left" vertical="center" wrapText="1"/>
    </x:xf>
    <x:xf numFmtId="0" fontId="17" fillId="11" borderId="7" xfId="0" applyNumberFormat="1" applyFont="1" applyFill="1" applyBorder="1" applyAlignment="1">
      <x:alignment horizontal="left" vertical="center" wrapText="1"/>
    </x:xf>
    <x:xf numFmtId="0" fontId="17" fillId="11" borderId="0" xfId="0" applyNumberFormat="1" applyFont="1" applyFill="1" applyBorder="1" applyAlignment="1">
      <x:alignment horizontal="left" vertical="center" wrapText="1"/>
    </x:xf>
    <x:xf numFmtId="0" fontId="17" fillId="11" borderId="8" xfId="0" applyNumberFormat="1" applyFont="1" applyFill="1" applyBorder="1" applyAlignment="1">
      <x:alignment horizontal="left" vertical="center" wrapText="1"/>
    </x:xf>
    <x:xf numFmtId="0" fontId="17" fillId="11" borderId="9" xfId="0" applyNumberFormat="1" applyFont="1" applyFill="1" applyBorder="1" applyAlignment="1">
      <x:alignment horizontal="left" vertical="center" wrapText="1"/>
    </x:xf>
    <x:xf numFmtId="0" fontId="17" fillId="11" borderId="10" xfId="0" applyNumberFormat="1" applyFont="1" applyFill="1" applyBorder="1" applyAlignment="1">
      <x:alignment horizontal="left" vertical="center" wrapText="1"/>
    </x:xf>
    <x:xf numFmtId="0" fontId="17" fillId="11" borderId="11" xfId="0" applyNumberFormat="1" applyFont="1" applyFill="1" applyBorder="1" applyAlignment="1">
      <x:alignment horizontal="left" vertical="center" wrapText="1"/>
    </x:xf>
    <x:xf numFmtId="0" fontId="0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19" fillId="3" borderId="0" xfId="0" applyNumberFormat="1" applyFont="1" applyFill="1" applyBorder="1"/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horizontal="center" wrapText="1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200" fontId="0" fillId="16" borderId="0" xfId="0" applyNumberFormat="1" applyFont="1" applyFill="1" applyBorder="1"/>
    <x:xf numFmtId="201" fontId="0" fillId="16" borderId="0" xfId="0" applyNumberFormat="1" applyFont="1" applyFill="1" applyBorder="1"/>
    <x:xf numFmtId="203" fontId="0" fillId="0" borderId="0" xfId="0" applyNumberFormat="1" applyFont="1" applyFill="1" applyBorder="1"/>
    <x:xf numFmtId="200" fontId="0" fillId="16" borderId="0" xfId="0" applyNumberFormat="1" applyFont="1" applyFill="1" applyBorder="1" applyAlignment="1">
      <x:alignment horizontal="center"/>
    </x:xf>
    <x:xf numFmtId="201" fontId="0" fillId="16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1" fontId="0" fillId="16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203" fontId="0" fillId="0" borderId="0" xfId="0" applyNumberFormat="1" applyFont="1" applyFill="1" applyBorder="1" applyAlignment="1">
      <x:alignment horizontal="left"/>
    </x:xf>
    <x:xf numFmtId="0" fontId="0" fillId="16" borderId="20" xfId="0" applyNumberFormat="1" applyFont="1" applyFill="1" applyBorder="1"/>
    <x:xf numFmtId="0" fontId="0" fillId="16" borderId="21" xfId="0" applyNumberFormat="1" applyFont="1" applyFill="1" applyBorder="1"/>
    <x:xf numFmtId="200" fontId="0" fillId="16" borderId="21" xfId="0" applyNumberFormat="1" applyFont="1" applyFill="1" applyBorder="1" applyAlignment="1">
      <x:alignment horizontal="center"/>
    </x:xf>
    <x:xf numFmtId="201" fontId="0" fillId="16" borderId="21" xfId="0" applyNumberFormat="1" applyFont="1" applyFill="1" applyBorder="1" applyAlignment="1">
      <x:alignment horizontal="right"/>
    </x:xf>
    <x:xf numFmtId="201" fontId="0" fillId="16" borderId="21" xfId="0" applyNumberFormat="1" applyFont="1" applyFill="1" applyBorder="1" applyAlignment="1">
      <x:alignment horizontal="center"/>
    </x:xf>
    <x:xf numFmtId="201" fontId="0" fillId="0" borderId="21" xfId="0" applyNumberFormat="1" applyFont="1" applyFill="1" applyBorder="1" applyAlignment="1">
      <x:alignment horizontal="right"/>
    </x:xf>
    <x:xf numFmtId="0" fontId="0" fillId="0" borderId="21" xfId="0" applyNumberFormat="1" applyFont="1" applyFill="1" applyBorder="1" applyAlignment="1">
      <x:alignment horizontal="left"/>
    </x:xf>
    <x:xf numFmtId="203" fontId="0" fillId="0" borderId="21" xfId="0" applyNumberFormat="1" applyFont="1" applyFill="1" applyBorder="1" applyAlignment="1">
      <x:alignment horizontal="left"/>
    </x:xf>
    <x:xf numFmtId="0" fontId="0" fillId="0" borderId="22" xfId="0" applyNumberFormat="1" applyFont="1" applyFill="1" applyBorder="1" applyAlignment="1">
      <x:alignment horizontal="left"/>
    </x:xf>
    <x:xf numFmtId="0" fontId="0" fillId="16" borderId="23" xfId="0" applyNumberFormat="1" applyFont="1" applyFill="1" applyBorder="1"/>
    <x:xf numFmtId="0" fontId="0" fillId="16" borderId="24" xfId="0" applyNumberFormat="1" applyFont="1" applyFill="1" applyBorder="1"/>
    <x:xf numFmtId="200" fontId="0" fillId="16" borderId="24" xfId="0" applyNumberFormat="1" applyFont="1" applyFill="1" applyBorder="1" applyAlignment="1">
      <x:alignment horizontal="center"/>
    </x:xf>
    <x:xf numFmtId="201" fontId="0" fillId="16" borderId="24" xfId="0" applyNumberFormat="1" applyFont="1" applyFill="1" applyBorder="1" applyAlignment="1">
      <x:alignment horizontal="right"/>
    </x:xf>
    <x:xf numFmtId="201" fontId="0" fillId="16" borderId="24" xfId="0" applyNumberFormat="1" applyFont="1" applyFill="1" applyBorder="1" applyAlignment="1">
      <x:alignment horizontal="center"/>
    </x:xf>
    <x:xf numFmtId="201" fontId="0" fillId="0" borderId="24" xfId="0" applyNumberFormat="1" applyFont="1" applyFill="1" applyBorder="1" applyAlignment="1">
      <x:alignment horizontal="right"/>
    </x:xf>
    <x:xf numFmtId="0" fontId="0" fillId="0" borderId="24" xfId="0" applyNumberFormat="1" applyFont="1" applyFill="1" applyBorder="1" applyAlignment="1">
      <x:alignment horizontal="left"/>
    </x:xf>
    <x:xf numFmtId="203" fontId="0" fillId="0" borderId="24" xfId="0" applyNumberFormat="1" applyFont="1" applyFill="1" applyBorder="1" applyAlignment="1">
      <x:alignment horizontal="left"/>
    </x:xf>
    <x:xf numFmtId="0" fontId="0" fillId="0" borderId="25" xfId="0" applyNumberFormat="1" applyFont="1" applyFill="1" applyBorder="1" applyAlignment="1">
      <x:alignment horizontal="left"/>
    </x:xf>
    <x:xf numFmtId="0" fontId="0" fillId="16" borderId="26" xfId="0" applyNumberFormat="1" applyFont="1" applyFill="1" applyBorder="1"/>
    <x:xf numFmtId="0" fontId="0" fillId="16" borderId="27" xfId="0" applyNumberFormat="1" applyFont="1" applyFill="1" applyBorder="1"/>
    <x:xf numFmtId="200" fontId="0" fillId="16" borderId="27" xfId="0" applyNumberFormat="1" applyFont="1" applyFill="1" applyBorder="1" applyAlignment="1">
      <x:alignment horizontal="center"/>
    </x:xf>
    <x:xf numFmtId="201" fontId="0" fillId="16" borderId="27" xfId="0" applyNumberFormat="1" applyFont="1" applyFill="1" applyBorder="1" applyAlignment="1">
      <x:alignment horizontal="right"/>
    </x:xf>
    <x:xf numFmtId="201" fontId="0" fillId="16" borderId="27" xfId="0" applyNumberFormat="1" applyFont="1" applyFill="1" applyBorder="1" applyAlignment="1">
      <x:alignment horizontal="center"/>
    </x:xf>
    <x:xf numFmtId="201" fontId="0" fillId="0" borderId="27" xfId="0" applyNumberFormat="1" applyFont="1" applyFill="1" applyBorder="1" applyAlignment="1">
      <x:alignment horizontal="right"/>
    </x:xf>
    <x:xf numFmtId="0" fontId="0" fillId="0" borderId="27" xfId="0" applyNumberFormat="1" applyFont="1" applyFill="1" applyBorder="1" applyAlignment="1">
      <x:alignment horizontal="left"/>
    </x:xf>
    <x:xf numFmtId="203" fontId="0" fillId="0" borderId="27" xfId="0" applyNumberFormat="1" applyFont="1" applyFill="1" applyBorder="1" applyAlignment="1">
      <x:alignment horizontal="left"/>
    </x:xf>
    <x:xf numFmtId="0" fontId="0" fillId="0" borderId="28" xfId="0" applyNumberFormat="1" applyFont="1" applyFill="1" applyBorder="1" applyAlignment="1">
      <x:alignment horizontal="left"/>
    </x:xf>
    <x:xf numFmtId="0" fontId="0" fillId="16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16" borderId="21" xfId="0" applyNumberFormat="1" applyFont="1" applyFill="1" applyBorder="1" applyAlignment="1">
      <x:alignment horizontal="center"/>
    </x:xf>
    <x:xf numFmtId="0" fontId="0" fillId="16" borderId="21" xfId="0" applyNumberFormat="1" applyFont="1" applyFill="1" applyBorder="1" applyAlignment="1">
      <x:alignment wrapText="1"/>
    </x:xf>
    <x:xf numFmtId="202" fontId="0" fillId="0" borderId="21" xfId="0" applyNumberFormat="1" applyFont="1" applyFill="1" applyBorder="1" applyAlignment="1">
      <x:alignment horizontal="right"/>
    </x:xf>
    <x:xf numFmtId="0" fontId="0" fillId="0" borderId="21" xfId="0" applyNumberFormat="1" applyFont="1" applyFill="1" applyBorder="1" applyAlignment="1">
      <x:alignment horizontal="center"/>
    </x:xf>
    <x:xf numFmtId="203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wrapText="1"/>
    </x:xf>
    <x:xf numFmtId="0" fontId="0" fillId="16" borderId="24" xfId="0" applyNumberFormat="1" applyFont="1" applyFill="1" applyBorder="1" applyAlignment="1">
      <x:alignment horizontal="center"/>
    </x:xf>
    <x:xf numFmtId="0" fontId="0" fillId="16" borderId="24" xfId="0" applyNumberFormat="1" applyFont="1" applyFill="1" applyBorder="1" applyAlignment="1">
      <x:alignment wrapText="1"/>
    </x:xf>
    <x:xf numFmtId="202" fontId="0" fillId="0" borderId="24" xfId="0" applyNumberFormat="1" applyFont="1" applyFill="1" applyBorder="1" applyAlignment="1">
      <x:alignment horizontal="right"/>
    </x:xf>
    <x:xf numFmtId="0" fontId="0" fillId="0" borderId="24" xfId="0" applyNumberFormat="1" applyFont="1" applyFill="1" applyBorder="1" applyAlignment="1">
      <x:alignment horizontal="center"/>
    </x:xf>
    <x:xf numFmtId="203" fontId="0" fillId="0" borderId="24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wrapText="1"/>
    </x:xf>
    <x:xf numFmtId="0" fontId="0" fillId="16" borderId="27" xfId="0" applyNumberFormat="1" applyFont="1" applyFill="1" applyBorder="1" applyAlignment="1">
      <x:alignment horizontal="center"/>
    </x:xf>
    <x:xf numFmtId="0" fontId="0" fillId="16" borderId="27" xfId="0" applyNumberFormat="1" applyFont="1" applyFill="1" applyBorder="1" applyAlignment="1">
      <x:alignment wrapText="1"/>
    </x:xf>
    <x:xf numFmtId="202" fontId="0" fillId="0" borderId="27" xfId="0" applyNumberFormat="1" applyFont="1" applyFill="1" applyBorder="1" applyAlignment="1">
      <x:alignment horizontal="right"/>
    </x:xf>
    <x:xf numFmtId="0" fontId="0" fillId="0" borderId="27" xfId="0" applyNumberFormat="1" applyFont="1" applyFill="1" applyBorder="1" applyAlignment="1">
      <x:alignment horizontal="center"/>
    </x:xf>
    <x:xf numFmtId="203" fontId="0" fillId="0" borderId="27" xfId="0" applyNumberFormat="1" applyFont="1" applyFill="1" applyBorder="1" applyAlignment="1">
      <x:alignment horizontal="center"/>
    </x:xf>
    <x:xf numFmtId="0" fontId="0" fillId="0" borderId="28" xfId="0" applyNumberFormat="1" applyFont="1" applyFill="1" applyBorder="1" applyAlignment="1">
      <x:alignment wrapText="1"/>
    </x:xf>
    <x:xf numFmtId="0" fontId="0" fillId="0" borderId="21" xfId="0" applyNumberFormat="1" applyFont="1" applyFill="1" applyBorder="1"/>
    <x:xf numFmtId="0" fontId="0" fillId="0" borderId="22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 applyAlignment="1">
      <x:alignment horizontal="center"/>
    </x:xf>
    <x:xf numFmtId="0" fontId="0" fillId="0" borderId="27" xfId="0" applyNumberFormat="1" applyFont="1" applyFill="1" applyBorder="1"/>
    <x:xf numFmtId="0" fontId="0" fillId="0" borderId="28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/>
    <x:xf numFmtId="0" fontId="20" fillId="7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horizontal="right"/>
    </x:xf>
    <x:xf numFmtId="0" fontId="0" fillId="0" borderId="20" xfId="0" applyNumberFormat="1" applyFont="1" applyFill="1" applyBorder="1"/>
    <x:xf numFmtId="203" fontId="0" fillId="0" borderId="21" xfId="0" applyNumberFormat="1" applyFont="1" applyFill="1" applyBorder="1" applyAlignment="1">
      <x:alignment horizontal="right"/>
    </x:xf>
    <x:xf numFmtId="0" fontId="0" fillId="0" borderId="23" xfId="0" applyNumberFormat="1" applyFont="1" applyFill="1" applyBorder="1"/>
    <x:xf numFmtId="203" fontId="0" fillId="0" borderId="24" xfId="0" applyNumberFormat="1" applyFont="1" applyFill="1" applyBorder="1" applyAlignment="1">
      <x:alignment horizontal="right"/>
    </x:xf>
    <x:xf numFmtId="0" fontId="0" fillId="0" borderId="26" xfId="0" applyNumberFormat="1" applyFont="1" applyFill="1" applyBorder="1"/>
    <x:xf numFmtId="203" fontId="0" fillId="0" borderId="27" xfId="0" applyNumberFormat="1" applyFont="1" applyFill="1" applyBorder="1" applyAlignment="1">
      <x:alignment horizontal="right"/>
    </x:xf>
    <x:xf numFmtId="0" fontId="13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1" fillId="4" borderId="0" xfId="0" applyNumberFormat="1" applyFont="1" applyFill="1" applyBorder="1"/>
    <x:xf numFmtId="0" fontId="21" fillId="4" borderId="1" xfId="0" applyNumberFormat="1" applyFont="1" applyFill="1" applyBorder="1"/>
    <x:xf numFmtId="0" fontId="21" fillId="4" borderId="3" xfId="0" applyNumberFormat="1" applyFont="1" applyFill="1" applyBorder="1"/>
    <x:xf numFmtId="0" fontId="21" fillId="4" borderId="1" xfId="0" applyNumberFormat="1" applyFont="1" applyFill="1" applyBorder="1" applyAlignment="1">
      <x:alignment horizontal="center"/>
    </x:xf>
    <x:xf numFmtId="0" fontId="21" fillId="4" borderId="3" xfId="0" applyNumberFormat="1" applyFont="1" applyFill="1" applyBorder="1" applyAlignment="1">
      <x:alignment horizontal="center"/>
    </x:xf>
    <x:xf numFmtId="0" fontId="22" fillId="3" borderId="0" xfId="0" applyNumberFormat="1" applyFont="1" applyFill="1" applyBorder="1"/>
    <x:xf numFmtId="204" fontId="0" fillId="0" borderId="0" xfId="0" applyNumberFormat="1" applyFont="1" applyFill="1" applyBorder="1"/>
    <x:xf numFmtId="204" fontId="0" fillId="0" borderId="10" xfId="0" applyNumberFormat="1" applyFont="1" applyFill="1" applyBorder="1"/>
    <x:xf numFmtId="204" fontId="0" fillId="0" borderId="2" xfId="0" applyNumberFormat="1" applyFont="1" applyFill="1" applyBorder="1"/>
    <x:xf numFmtId="0" fontId="23" fillId="7" borderId="0" xfId="0" applyNumberFormat="1" applyFont="1" applyFill="1" applyBorder="1"/>
    <x:xf numFmtId="0" fontId="23" fillId="7" borderId="0" xfId="0" applyNumberFormat="1" applyFont="1" applyFill="1" applyBorder="1" applyAlignment="1">
      <x:alignment horizontal="center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/>
    <x:xf numFmtId="0" fontId="13" fillId="12" borderId="29" xfId="0" applyNumberFormat="1" applyFont="1" applyFill="1" applyBorder="1"/>
    <x:xf numFmtId="0" fontId="13" fillId="12" borderId="30" xfId="0" applyNumberFormat="1" applyFont="1" applyFill="1" applyBorder="1"/>
    <x:xf numFmtId="0" fontId="13" fillId="12" borderId="31" xfId="0" applyNumberFormat="1" applyFont="1" applyFill="1" applyBorder="1"/>
    <x:xf numFmtId="0" fontId="13" fillId="12" borderId="29" xfId="0" applyNumberFormat="1" applyFont="1" applyFill="1" applyBorder="1" applyAlignment="1">
      <x:alignment vertical="center"/>
    </x:xf>
    <x:xf numFmtId="0" fontId="13" fillId="12" borderId="30" xfId="0" applyNumberFormat="1" applyFont="1" applyFill="1" applyBorder="1" applyAlignment="1">
      <x:alignment vertical="center"/>
    </x:xf>
    <x:xf numFmtId="0" fontId="13" fillId="12" borderId="31" xfId="0" applyNumberFormat="1" applyFont="1" applyFill="1" applyBorder="1" applyAlignment="1">
      <x:alignment vertical="center"/>
    </x:xf>
    <x:xf numFmtId="0" fontId="24" fillId="13" borderId="0" xfId="0" applyNumberFormat="1" applyFont="1" applyFill="1" applyBorder="1"/>
    <x:xf numFmtId="0" fontId="24" fillId="13" borderId="0" xfId="0" applyNumberFormat="1" applyFont="1" applyFill="1" applyBorder="1" applyAlignment="1">
      <x:alignment wrapText="1"/>
    </x:xf>
    <x:xf numFmtId="0" fontId="24" fillId="13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/>
    <x:xf numFmtId="20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  <x:dxfs count="17">
    <x:dxf>
      <x:font>
        <x:b/>
        <x:color rgb="FF2E7D32"/>
      </x:font>
      <x:fill>
        <x:patternFill>
          <x:bgColor rgb="FFEAF5EA"/>
        </x:patternFill>
      </x:fill>
    </x:dxf>
    <x:dxf>
      <x:font>
        <x:b/>
        <x:color rgb="FF8A5200"/>
      </x:font>
      <x:fill>
        <x:patternFill>
          <x:bgColor rgb="FFFFF4E5"/>
        </x:patternFill>
      </x:fill>
    </x:dxf>
    <x:dxf>
      <x:font>
        <x:b/>
        <x:color rgb="FF8A5200"/>
      </x:font>
      <x:fill>
        <x:patternFill>
          <x:bgColor rgb="FFFFF4E5"/>
        </x:patternFill>
      </x:fill>
    </x:dxf>
    <x:dxf>
      <x:font>
        <x:b/>
        <x:color rgb="FFC63D3D"/>
      </x:font>
      <x:fill>
        <x:patternFill>
          <x:bgColor rgb="FFFCECEC"/>
        </x:patternFill>
      </x:fill>
    </x:dxf>
    <x:dxf>
      <x:font>
        <x:b/>
        <x:color rgb="FF2E7D32"/>
      </x:font>
      <x:fill>
        <x:patternFill>
          <x:bgColor rgb="FFEAF5EA"/>
        </x:patternFill>
      </x:fill>
    </x:dxf>
    <x:dxf>
      <x:font>
        <x:b/>
        <x:color rgb="FF8A5200"/>
      </x:font>
      <x:fill>
        <x:patternFill>
          <x:bgColor rgb="FFFFF4E5"/>
        </x:patternFill>
      </x:fill>
    </x:dxf>
    <x:dxf>
      <x:font>
        <x:b/>
        <x:color rgb="FFC63D3D"/>
      </x:font>
      <x:fill>
        <x:patternFill>
          <x:bgColor rgb="FFFCECEC"/>
        </x:patternFill>
      </x:fill>
    </x:dxf>
    <x:dxf>
      <x:font>
        <x:b/>
        <x:color rgb="FFC63D3D"/>
      </x:font>
      <x:fill>
        <x:patternFill>
          <x:bgColor rgb="FFFCECEC"/>
        </x:patternFill>
      </x:fill>
    </x:dxf>
    <x:dxf>
      <x:font>
        <x:color rgb="FF8A5200"/>
      </x:font>
      <x:fill>
        <x:patternFill>
          <x:bgColor rgb="FFFFF4E5"/>
        </x:patternFill>
      </x:fill>
    </x:dxf>
    <x:dxf>
      <x:font>
        <x:b/>
        <x:color rgb="FF2E7D32"/>
      </x:font>
      <x:fill>
        <x:patternFill>
          <x:bgColor rgb="FFEAF5EA"/>
        </x:patternFill>
      </x:fill>
    </x:dxf>
    <x:dxf>
      <x:font>
        <x:b/>
        <x:color rgb="FFC63D3D"/>
      </x:font>
      <x:fill>
        <x:patternFill>
          <x:bgColor rgb="FFFCECEC"/>
        </x:patternFill>
      </x:fill>
    </x:dxf>
    <x:dxf>
      <x:font>
        <x:b/>
        <x:color rgb="FFC63D3D"/>
      </x:font>
      <x:fill>
        <x:patternFill>
          <x:bgColor rgb="FFFCECEC"/>
        </x:patternFill>
      </x:fill>
    </x:dxf>
    <x:dxf>
      <x:font>
        <x:b/>
        <x:color rgb="FFC63D3D"/>
      </x:font>
      <x:fill>
        <x:patternFill>
          <x:bgColor rgb="FFFCECEC"/>
        </x:patternFill>
      </x:fill>
    </x:dxf>
    <x:dxf>
      <x:font>
        <x:b/>
        <x:color rgb="FF8A5200"/>
      </x:font>
      <x:fill>
        <x:patternFill>
          <x:bgColor rgb="FFFFF4E5"/>
        </x:patternFill>
      </x:fill>
    </x:dxf>
    <x:dxf>
      <x:font>
        <x:b/>
        <x:color rgb="FF2E7D32"/>
      </x:font>
      <x:fill>
        <x:patternFill>
          <x:bgColor rgb="FFEAF5EA"/>
        </x:patternFill>
      </x:fill>
    </x:dxf>
    <x:dxf>
      <x:font>
        <x:b/>
        <x:color rgb="FF2E7D32"/>
      </x:font>
      <x:fill>
        <x:patternFill>
          <x:bgColor rgb="FFEAF5EA"/>
        </x:patternFill>
      </x:fill>
    </x:dxf>
    <x:dxf>
      <x:font>
        <x:b/>
        <x:color rgb="FFC63D3D"/>
      </x:font>
      <x:fill>
        <x:patternFill>
          <x:bgColor rgb="FFFC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3bff82990426f" /><Relationship Type="http://schemas.openxmlformats.org/officeDocument/2006/relationships/theme" Target="/xl/theme/theme1.xml" Id="R1d988e31e30c45ee" /><Relationship Type="http://schemas.openxmlformats.org/officeDocument/2006/relationships/sharedStrings" Target="/xl/sharedStrings.xml" Id="R7454b3343fb94683" /><Relationship Type="http://schemas.openxmlformats.org/officeDocument/2006/relationships/worksheet" Target="/xl/worksheets/sheet1.xml" Id="Reea30bd7fbfc4453" /><Relationship Type="http://schemas.openxmlformats.org/officeDocument/2006/relationships/worksheet" Target="/xl/worksheets/sheet2.xml" Id="R67484bb0b5e648a2" /><Relationship Type="http://schemas.openxmlformats.org/officeDocument/2006/relationships/worksheet" Target="/xl/worksheets/sheet3.xml" Id="R38ff20843de4421c" /><Relationship Type="http://schemas.openxmlformats.org/officeDocument/2006/relationships/worksheet" Target="/xl/worksheets/sheet4.xml" Id="R935845a89a134791" /><Relationship Type="http://schemas.openxmlformats.org/officeDocument/2006/relationships/worksheet" Target="/xl/worksheets/sheet5.xml" Id="Rd6a99ec09bac48a1" /><Relationship Type="http://schemas.openxmlformats.org/officeDocument/2006/relationships/worksheet" Target="/xl/worksheets/sheet6.xml" Id="R35c314027bd543ab" /><Relationship Type="http://schemas.microsoft.com/office/2017/10/relationships/person" Target="/xl/persons/person.xml" Id="Ra08f9c688dc243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a64e411ff142dc" /><Relationship Type="http://schemas.openxmlformats.org/officeDocument/2006/relationships/chart" Target="/xl/drawings/charts/chart2.xml" Id="R5901db173f104a4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Cash Receipts by Application Status ($)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Receipt Amount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'Dashboard'!$A$17:$A$20</c:f>
              <c:strCache>
                <c:ptCount val="0"/>
              </c:strCache>
            </c:strRef>
          </c:cat>
          <c:val>
            <c:numRef>
              <c:f>'Dashboard'!$B$17:$B$20</c:f>
              <c:numCache>
                <c:formatCode>"$"#,##0;[Red]("$"#,##0);-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Unapplied Cash by Customer ($)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Unapplied Cash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'Dashboard'!$A$25:$A$28</c:f>
              <c:strCache>
                <c:ptCount val="0"/>
              </c:strCache>
            </c:strRef>
          </c:cat>
          <c:val>
            <c:numRef>
              <c:f>'Dashboard'!$B$25:$B$28</c:f>
              <c:numCache>
                <c:formatCode>"$"#,##0;[Red]("$"#,##0);-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a64e411ff142dc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15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01db173f104a42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anDAce07" id="{5D64DFCC-64A5-4663-8CD5-357EDFC9A961}"/>
</xltc:personList>
</file>

<file path=xl/tables/table1.xml><?xml version="1.0" encoding="utf-8"?>
<x:table xmlns:x="http://schemas.openxmlformats.org/spreadsheetml/2006/main" id="1" name="InvoiceRegisterTable" displayName="InvoiceRegisterTable" ref="A6:L36" headerRowCount="1">
  <x:autoFilter ref="A6:L36"/>
  <x:tableColumns count="12">
    <x:tableColumn id="1" name="Invoice #"/>
    <x:tableColumn id="2" name="Customer"/>
    <x:tableColumn id="3" name="Invoice Date"/>
    <x:tableColumn id="4" name="Due Date"/>
    <x:tableColumn id="5" name="Original Amount"/>
    <x:tableColumn id="6" name="Payment Terms"/>
    <x:tableColumn id="7" name="Reference"/>
    <x:tableColumn id="8" name="Applied Amount"/>
    <x:tableColumn id="9" name="Remaining Balance"/>
    <x:tableColumn id="10" name="Invoice Status"/>
    <x:tableColumn id="11" name="Days Outstanding"/>
    <x:tableColumn id="12" name="Follow-up Exception"/>
  </x:tableColumns>
  <x:tableStyleInfo name="TableStyleMedium2" showRowStripes="1"/>
</x:table>
</file>

<file path=xl/tables/table2.xml><?xml version="1.0" encoding="utf-8"?>
<x:table xmlns:x="http://schemas.openxmlformats.org/spreadsheetml/2006/main" id="2" name="CashReceiptsTable" displayName="CashReceiptsTable" ref="A6:P36" headerRowCount="1">
  <x:autoFilter ref="A6:P36"/>
  <x:tableColumns count="16">
    <x:tableColumn id="1" name="Payment ID"/>
    <x:tableColumn id="2" name="Receipt Date"/>
    <x:tableColumn id="3" name="Customer"/>
    <x:tableColumn id="4" name="Receipt Amount"/>
    <x:tableColumn id="5" name="Method"/>
    <x:tableColumn id="6" name="Bank Reference"/>
    <x:tableColumn id="7" name="Remittance?"/>
    <x:tableColumn id="8" name="Remittance Invoice"/>
    <x:tableColumn id="9" name="Receipt Notes"/>
    <x:tableColumn id="10" name="Applied Amount"/>
    <x:tableColumn id="11" name="Unapplied Amount"/>
    <x:tableColumn id="12" name="Application Rate"/>
    <x:tableColumn id="13" name="Application Status"/>
    <x:tableColumn id="14" name="Days Unapplied"/>
    <x:tableColumn id="15" name="Priority"/>
    <x:tableColumn id="16" name="Exception Note"/>
  </x:tableColumns>
  <x:tableStyleInfo name="TableStyleMedium2" showRowStripes="1"/>
</x:table>
</file>

<file path=xl/tables/table3.xml><?xml version="1.0" encoding="utf-8"?>
<x:table xmlns:x="http://schemas.openxmlformats.org/spreadsheetml/2006/main" id="3" name="ApplicationDetailTable" displayName="ApplicationDetailTable" ref="A6:O36" headerRowCount="1">
  <x:autoFilter ref="A6:O36"/>
  <x:tableColumns count="15">
    <x:tableColumn id="1" name="Application ID"/>
    <x:tableColumn id="2" name="Payment ID"/>
    <x:tableColumn id="3" name="Invoice #"/>
    <x:tableColumn id="4" name="Amount Applied"/>
    <x:tableColumn id="5" name="Application Date"/>
    <x:tableColumn id="6" name="Match Type"/>
    <x:tableColumn id="7" name="Analyst Notes"/>
    <x:tableColumn id="8" name="Customer"/>
    <x:tableColumn id="9" name="Receipt Amount"/>
    <x:tableColumn id="10" name="Invoice Amount"/>
    <x:tableColumn id="11" name="Payment Applied Total"/>
    <x:tableColumn id="12" name="Payment Unapplied"/>
    <x:tableColumn id="13" name="Invoice Applied Total"/>
    <x:tableColumn id="14" name="Invoice Remaining"/>
    <x:tableColumn id="15" name="Control Flag"/>
  </x:tableColumns>
  <x:tableStyleInfo name="TableStyleMedium2" showRowStripes="1"/>
</x:table>
</file>

<file path=xl/tables/table4.xml><?xml version="1.0" encoding="utf-8"?>
<x:table xmlns:x="http://schemas.openxmlformats.org/spreadsheetml/2006/main" id="4" name="CustomerCashSummaryTable" displayName="CustomerCashSummaryTable" ref="A6:I26" headerRowCount="1">
  <x:autoFilter ref="A6:I26"/>
  <x:tableColumns count="9">
    <x:tableColumn id="1" name="Customer"/>
    <x:tableColumn id="2" name="Invoice Amount"/>
    <x:tableColumn id="3" name="Cash Receipts"/>
    <x:tableColumn id="4" name="Applied Cash"/>
    <x:tableColumn id="5" name="Unapplied Cash"/>
    <x:tableColumn id="6" name="Remaining Invoice Balance"/>
    <x:tableColumn id="7" name="Application Rate"/>
    <x:tableColumn id="8" name="Exception Count"/>
    <x:tableColumn id="9" name="Follow-up Priority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6-30T00:18:45.643" personId="{5D64DFCC-64A5-4663-8CD5-357EDFC9A961}" id="{68F40DE6-E8D7-7FFB-5766-847E833AD592}">
    <xltc:text>Source: synthetic June 2026 cash application scenario | As-of: 2026-06-30 | Owner: SanDAce07.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5a2ece724eb4fe5" /><Relationship Type="http://schemas.openxmlformats.org/officeDocument/2006/relationships/vmlDrawing" Target="/xl/drawings/vmldrawing.vml" Id="R73602de3361f475a" /><Relationship Type="http://schemas.microsoft.com/office/2017/10/relationships/threadedComment" Target="/xl/threadedcomments/threadedcomment.xml" Id="Ra0c3f62b3cdc4485" /><Relationship Type="http://schemas.openxmlformats.org/officeDocument/2006/relationships/drawing" Target="/xl/drawings/drawing1.xml" Id="R9880ca1786234b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e2150665de4a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1f5ccdb6814c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55a2d8fff040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325380b5c34d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8" hidden="0" customWidth="1"/>
    <x:col min="4" max="4" width="3" hidden="0" customWidth="1"/>
    <x:col min="5" max="5" width="16" hidden="0" customWidth="1"/>
    <x:col min="6" max="6" width="15" hidden="0" customWidth="1"/>
    <x:col min="7" max="7" width="15" hidden="0" customWidth="1"/>
    <x:col min="8" max="8" width="3" hidden="0" customWidth="1"/>
    <x:col min="9" max="9" width="16" hidden="0" customWidth="1"/>
    <x:col min="10" max="10" width="15" hidden="0" customWidth="1"/>
    <x:col min="11" max="11" width="15" hidden="0" customWidth="1"/>
    <x:col min="12" max="12" width="3" hidden="0" customWidth="1"/>
    <x:col min="13" max="13" width="16" hidden="0" customWidth="1"/>
    <x:col min="14" max="14" width="15" hidden="0" customWidth="1"/>
    <x:col min="15" max="15" width="15" hidden="0" customWidth="1"/>
  </x:cols>
  <x:sheetData>
    <x:row r="1" ht="30" customHeight="1">
      <x:c r="A1" s="4" t="str">
        <x:v>Cash Application Tracker</x:v>
      </x:c>
      <x:c r="B1" s="4" t="str">
        <x:v>Cash Application Tracker</x:v>
      </x:c>
      <x:c r="C1" s="4" t="str">
        <x:v>Cash Application Tracker</x:v>
      </x:c>
      <x:c r="D1" s="4" t="str">
        <x:v>Cash Application Tracker</x:v>
      </x:c>
      <x:c r="E1" s="4" t="str">
        <x:v>Cash Application Tracker</x:v>
      </x:c>
      <x:c r="F1" s="4" t="str">
        <x:v>Cash Application Tracker</x:v>
      </x:c>
      <x:c r="G1" s="4" t="str">
        <x:v>Cash Application Tracker</x:v>
      </x:c>
      <x:c r="H1" s="4" t="str">
        <x:v>Cash Application Tracker</x:v>
      </x:c>
      <x:c r="I1" s="4" t="str">
        <x:v>Cash Application Tracker</x:v>
      </x:c>
      <x:c r="J1" s="4" t="str">
        <x:v>Cash Application Tracker</x:v>
      </x:c>
      <x:c r="K1" s="4" t="str">
        <x:v>Cash Application Tracker</x:v>
      </x:c>
      <x:c r="L1" s="4" t="str">
        <x:v>Cash Application Tracker</x:v>
      </x:c>
      <x:c r="M1" s="4" t="str">
        <x:v>Cash Application Tracker</x:v>
      </x:c>
      <x:c r="N1" s="4" t="str">
        <x:v>Cash Application Tracker</x:v>
      </x:c>
      <x:c r="O1" s="4" t="str">
        <x:v>Cash Application Tracker</x:v>
      </x:c>
    </x:row>
    <x:row r="2" ht="30" customHeight="1">
      <x:c r="A2" s="4" t="str">
        <x:v>Cash Application Tracker</x:v>
      </x:c>
      <x:c r="B2" s="4" t="str">
        <x:v>Cash Application Tracker</x:v>
      </x:c>
      <x:c r="C2" s="4" t="str">
        <x:v>Cash Application Tracker</x:v>
      </x:c>
      <x:c r="D2" s="4" t="str">
        <x:v>Cash Application Tracker</x:v>
      </x:c>
      <x:c r="E2" s="4" t="str">
        <x:v>Cash Application Tracker</x:v>
      </x:c>
      <x:c r="F2" s="4" t="str">
        <x:v>Cash Application Tracker</x:v>
      </x:c>
      <x:c r="G2" s="4" t="str">
        <x:v>Cash Application Tracker</x:v>
      </x:c>
      <x:c r="H2" s="4" t="str">
        <x:v>Cash Application Tracker</x:v>
      </x:c>
      <x:c r="I2" s="4" t="str">
        <x:v>Cash Application Tracker</x:v>
      </x:c>
      <x:c r="J2" s="4" t="str">
        <x:v>Cash Application Tracker</x:v>
      </x:c>
      <x:c r="K2" s="4" t="str">
        <x:v>Cash Application Tracker</x:v>
      </x:c>
      <x:c r="L2" s="4" t="str">
        <x:v>Cash Application Tracker</x:v>
      </x:c>
      <x:c r="M2" s="4" t="str">
        <x:v>Cash Application Tracker</x:v>
      </x:c>
      <x:c r="N2" s="4" t="str">
        <x:v>Cash Application Tracker</x:v>
      </x:c>
      <x:c r="O2" s="4" t="str">
        <x:v>Cash Application Tracker</x:v>
      </x:c>
    </x:row>
    <x:row r="3" ht="22" customHeight="1">
      <x:c r="A3" s="8" t="str">
        <x:v>June 2026 receipt application, unapplied cash, invoice rollforward, and exception follow-up</x:v>
      </x:c>
      <x:c r="B3" s="8" t="str">
        <x:v>June 2026 receipt application, unapplied cash, invoice rollforward, and exception follow-up</x:v>
      </x:c>
      <x:c r="C3" s="8" t="str">
        <x:v>June 2026 receipt application, unapplied cash, invoice rollforward, and exception follow-up</x:v>
      </x:c>
      <x:c r="D3" s="8" t="str">
        <x:v>June 2026 receipt application, unapplied cash, invoice rollforward, and exception follow-up</x:v>
      </x:c>
      <x:c r="E3" s="8" t="str">
        <x:v>June 2026 receipt application, unapplied cash, invoice rollforward, and exception follow-up</x:v>
      </x:c>
      <x:c r="F3" s="8" t="str">
        <x:v>June 2026 receipt application, unapplied cash, invoice rollforward, and exception follow-up</x:v>
      </x:c>
      <x:c r="G3" s="8" t="str">
        <x:v>June 2026 receipt application, unapplied cash, invoice rollforward, and exception follow-up</x:v>
      </x:c>
      <x:c r="H3" s="8" t="str">
        <x:v>June 2026 receipt application, unapplied cash, invoice rollforward, and exception follow-up</x:v>
      </x:c>
      <x:c r="I3" s="8" t="str">
        <x:v>June 2026 receipt application, unapplied cash, invoice rollforward, and exception follow-up</x:v>
      </x:c>
      <x:c r="J3" s="8" t="str">
        <x:v>June 2026 receipt application, unapplied cash, invoice rollforward, and exception follow-up</x:v>
      </x:c>
      <x:c r="K3" s="8" t="str">
        <x:v>June 2026 receipt application, unapplied cash, invoice rollforward, and exception follow-up</x:v>
      </x:c>
      <x:c r="L3" s="8" t="str">
        <x:v>June 2026 receipt application, unapplied cash, invoice rollforward, and exception follow-up</x:v>
      </x:c>
      <x:c r="M3" s="8" t="str">
        <x:v>June 2026 receipt application, unapplied cash, invoice rollforward, and exception follow-up</x:v>
      </x:c>
      <x:c r="N3" s="8" t="str">
        <x:v>June 2026 receipt application, unapplied cash, invoice rollforward, and exception follow-up</x:v>
      </x:c>
      <x:c r="O3" s="8" t="str">
        <x:v>June 2026 receipt application, unapplied cash, invoice rollforward, and exception follow-up</x:v>
      </x:c>
    </x:row>
    <x:row r="4">
      <x:c r="A4" s="12" t="str">
        <x:v>As-of date</x:v>
      </x:c>
      <x:c r="B4" s="11" t="n">
        <x:v>46203</x:v>
      </x:c>
      <x:c r="C4" s="10"/>
      <x:c r="D4" s="10"/>
      <x:c r="E4" s="13" t="str">
        <x:v>Portfolio owner</x:v>
      </x:c>
      <x:c r="F4" s="13" t="str">
        <x:v>Portfolio owner</x:v>
      </x:c>
      <x:c r="G4" s="10" t="str">
        <x:v>Sandesh Lama Tamang</x:v>
      </x:c>
      <x:c r="H4" s="10"/>
      <x:c r="I4" s="12" t="str">
        <x:v>Version</x:v>
      </x:c>
      <x:c r="J4" s="10" t="str">
        <x:v>1.0</x:v>
      </x:c>
      <x:c r="K4" s="10"/>
      <x:c r="L4" s="10"/>
      <x:c r="M4" s="13" t="str">
        <x:v>Model status</x:v>
      </x:c>
      <x:c r="N4" s="13" t="str">
        <x:v>Model status</x:v>
      </x:c>
      <x:c r="O4" s="16" t="str">
        <x:f>'Control Checks'!$B$4</x:f>
        <x:v>PASS</x:v>
      </x:c>
    </x:row>
    <x:row r="6">
      <x:c r="A6" s="24" t="str">
        <x:v>TOTAL CASH RECEIPTS</x:v>
      </x:c>
      <x:c r="B6" s="25" t="str">
        <x:v>TOTAL CASH RECEIPTS</x:v>
      </x:c>
      <x:c r="C6" s="26" t="str">
        <x:v>TOTAL CASH RECEIPTS</x:v>
      </x:c>
      <x:c r="E6" s="72" t="str">
        <x:v>APPLIED CASH</x:v>
      </x:c>
      <x:c r="F6" s="73" t="str">
        <x:v>APPLIED CASH</x:v>
      </x:c>
      <x:c r="G6" s="74" t="str">
        <x:v>APPLIED CASH</x:v>
      </x:c>
      <x:c r="I6" s="120" t="str">
        <x:v>UNAPPLIED CASH</x:v>
      </x:c>
      <x:c r="J6" s="121" t="str">
        <x:v>UNAPPLIED CASH</x:v>
      </x:c>
      <x:c r="K6" s="122" t="str">
        <x:v>UNAPPLIED CASH</x:v>
      </x:c>
      <x:c r="M6" s="168" t="str">
        <x:v>CASH APPLICATION RATE</x:v>
      </x:c>
      <x:c r="N6" s="169" t="str">
        <x:v>CASH APPLICATION RATE</x:v>
      </x:c>
      <x:c r="O6" s="170" t="str">
        <x:v>CASH APPLICATION RATE</x:v>
      </x:c>
    </x:row>
    <x:row r="7">
      <x:c r="A7" s="55" t="n">
        <x:f>SUM('Cash Receipts'!$D$7:$D$36)</x:f>
        <x:v>259480</x:v>
      </x:c>
      <x:c r="B7" s="56"/>
      <x:c r="C7" s="57"/>
      <x:c r="E7" s="103" t="n">
        <x:f>SUM('Application Detail'!$D$7:$D$36)</x:f>
        <x:v>233970</x:v>
      </x:c>
      <x:c r="F7" s="104"/>
      <x:c r="G7" s="105"/>
      <x:c r="I7" s="151" t="n">
        <x:f>A7-E7</x:f>
        <x:v>25510</x:v>
      </x:c>
      <x:c r="J7" s="152"/>
      <x:c r="K7" s="153"/>
      <x:c r="M7" s="199" t="n">
        <x:f>IFERROR(E7/A7,0)</x:f>
        <x:v>0.9016879913673501</x:v>
      </x:c>
      <x:c r="N7" s="200"/>
      <x:c r="O7" s="201"/>
    </x:row>
    <x:row r="8">
      <x:c r="A8" s="58"/>
      <x:c r="B8" s="59"/>
      <x:c r="C8" s="60"/>
      <x:c r="E8" s="106"/>
      <x:c r="F8" s="107"/>
      <x:c r="G8" s="108"/>
      <x:c r="I8" s="154"/>
      <x:c r="J8" s="155"/>
      <x:c r="K8" s="156"/>
      <x:c r="M8" s="202"/>
      <x:c r="N8" s="203"/>
      <x:c r="O8" s="204"/>
    </x:row>
    <x:row r="9">
      <x:c r="A9" s="61"/>
      <x:c r="B9" s="62"/>
      <x:c r="C9" s="63"/>
      <x:c r="E9" s="109"/>
      <x:c r="F9" s="110"/>
      <x:c r="G9" s="111"/>
      <x:c r="I9" s="157"/>
      <x:c r="J9" s="158"/>
      <x:c r="K9" s="159"/>
      <x:c r="M9" s="205"/>
      <x:c r="N9" s="206"/>
      <x:c r="O9" s="207"/>
    </x:row>
    <x:row r="11">
      <x:c r="A11" s="24" t="str">
        <x:v>CASH RECEIPTS</x:v>
      </x:c>
      <x:c r="B11" s="25" t="str">
        <x:v>CASH RECEIPTS</x:v>
      </x:c>
      <x:c r="C11" s="26" t="str">
        <x:v>CASH RECEIPTS</x:v>
      </x:c>
      <x:c r="E11" s="252" t="str">
        <x:v>EXCEPTION PAYMENTS</x:v>
      </x:c>
      <x:c r="F11" s="253" t="str">
        <x:v>EXCEPTION PAYMENTS</x:v>
      </x:c>
      <x:c r="G11" s="254" t="str">
        <x:v>EXCEPTION PAYMENTS</x:v>
      </x:c>
      <x:c r="I11" s="300" t="str">
        <x:v>OPEN INVOICE BALANCE</x:v>
      </x:c>
      <x:c r="J11" s="301" t="str">
        <x:v>OPEN INVOICE BALANCE</x:v>
      </x:c>
      <x:c r="K11" s="302" t="str">
        <x:v>OPEN INVOICE BALANCE</x:v>
      </x:c>
      <x:c r="M11" s="120" t="str">
        <x:v>INVOICES NEEDING FOLLOW-UP</x:v>
      </x:c>
      <x:c r="N11" s="121" t="str">
        <x:v>INVOICES NEEDING FOLLOW-UP</x:v>
      </x:c>
      <x:c r="O11" s="122" t="str">
        <x:v>INVOICES NEEDING FOLLOW-UP</x:v>
      </x:c>
    </x:row>
    <x:row r="12">
      <x:c r="A12" s="235" t="n">
        <x:f>COUNTIF('Cash Receipts'!$M$7:$M$36,"Fully Applied")+COUNTIF('Cash Receipts'!$M$7:$M$36,"Partially Applied")+COUNTIF('Cash Receipts'!$M$7:$M$36,"Unapplied")+COUNTIF('Cash Receipts'!$M$7:$M$36,"Overapplied")</x:f>
        <x:v>12</x:v>
      </x:c>
      <x:c r="B12" s="236"/>
      <x:c r="C12" s="237"/>
      <x:c r="E12" s="283" t="n">
        <x:f>COUNTIF('Cash Receipts'!$M$7:$M$36,"Partially Applied")+COUNTIF('Cash Receipts'!$M$7:$M$36,"Unapplied")+COUNTIF('Cash Receipts'!$M$7:$M$36,"Overapplied")</x:f>
        <x:v>4</x:v>
      </x:c>
      <x:c r="F12" s="284"/>
      <x:c r="G12" s="285"/>
      <x:c r="I12" s="55" t="n">
        <x:f>SUM('Invoice Register'!$I$7:$I$36)</x:f>
        <x:v>47930</x:v>
      </x:c>
      <x:c r="J12" s="56"/>
      <x:c r="K12" s="57"/>
      <x:c r="M12" s="330" t="n">
        <x:f>COUNTIF('Invoice Register'!$L$7:$L$36,"Short pay")+COUNTIF('Invoice Register'!$L$7:$L$36,"Partial payment")+COUNTIF('Invoice Register'!$L$7:$L$36,"No application")+COUNTIF('Invoice Register'!$L$7:$L$36,"Overapplied")</x:f>
        <x:v>4</x:v>
      </x:c>
      <x:c r="N12" s="331"/>
      <x:c r="O12" s="332"/>
    </x:row>
    <x:row r="13">
      <x:c r="A13" s="238"/>
      <x:c r="B13" s="239"/>
      <x:c r="C13" s="240"/>
      <x:c r="E13" s="286"/>
      <x:c r="F13" s="287"/>
      <x:c r="G13" s="288"/>
      <x:c r="I13" s="58"/>
      <x:c r="J13" s="59"/>
      <x:c r="K13" s="60"/>
      <x:c r="M13" s="333"/>
      <x:c r="N13" s="334"/>
      <x:c r="O13" s="335"/>
    </x:row>
    <x:row r="14">
      <x:c r="A14" s="241"/>
      <x:c r="B14" s="242"/>
      <x:c r="C14" s="243"/>
      <x:c r="E14" s="289"/>
      <x:c r="F14" s="290"/>
      <x:c r="G14" s="291"/>
      <x:c r="I14" s="61"/>
      <x:c r="J14" s="62"/>
      <x:c r="K14" s="63"/>
      <x:c r="M14" s="336"/>
      <x:c r="N14" s="337"/>
      <x:c r="O14" s="338"/>
    </x:row>
    <x:row r="16">
      <x:c r="A16" s="343" t="str">
        <x:v>Application Status</x:v>
      </x:c>
      <x:c r="B16" s="344" t="str">
        <x:v>Receipt Amount</x:v>
      </x:c>
      <x:c r="C16" s="345" t="str">
        <x:v>% of Receipts</x:v>
      </x:c>
    </x:row>
    <x:row r="17">
      <x:c r="A17" s="348" t="str">
        <x:v>Fully Applied</x:v>
      </x:c>
      <x:c r="B17" s="349" t="n">
        <x:f>SUMIF('Cash Receipts'!$M$7:$M$36,A17,'Cash Receipts'!$D$7:$D$36)</x:f>
        <x:v>152370</x:v>
      </x:c>
      <x:c r="C17" s="350" t="n">
        <x:f>IFERROR(B17/$A$7,0)</x:f>
        <x:v>0.5872128873130877</x:v>
      </x:c>
    </x:row>
    <x:row r="18">
      <x:c r="A18" s="357" t="str">
        <x:v>Partially Applied</x:v>
      </x:c>
      <x:c r="B18" s="358" t="n">
        <x:f>SUMIF('Cash Receipts'!$M$7:$M$36,A18,'Cash Receipts'!$D$7:$D$36)</x:f>
        <x:v>85000</x:v>
      </x:c>
      <x:c r="C18" s="359" t="n">
        <x:f>IFERROR(B18/$A$7,0)</x:f>
        <x:v>0.32757823338985664</x:v>
      </x:c>
    </x:row>
    <x:row r="19">
      <x:c r="A19" s="357" t="str">
        <x:v>Unapplied</x:v>
      </x:c>
      <x:c r="B19" s="358" t="n">
        <x:f>SUMIF('Cash Receipts'!$M$7:$M$36,A19,'Cash Receipts'!$D$7:$D$36)</x:f>
        <x:v>22110</x:v>
      </x:c>
      <x:c r="C19" s="359" t="n">
        <x:f>IFERROR(B19/$A$7,0)</x:f>
        <x:v>0.08520887929705565</x:v>
      </x:c>
    </x:row>
    <x:row r="20">
      <x:c r="A20" s="363" t="str">
        <x:v>Overapplied</x:v>
      </x:c>
      <x:c r="B20" s="364" t="n">
        <x:f>SUMIF('Cash Receipts'!$M$7:$M$36,A20,'Cash Receipts'!$D$7:$D$36)</x:f>
        <x:v>0</x:v>
      </x:c>
      <x:c r="C20" s="365" t="n">
        <x:f>IFERROR(B20/$A$7,0)</x:f>
        <x:v>0</x:v>
      </x:c>
    </x:row>
    <x:row r="24">
      <x:c r="A24" s="370" t="str">
        <x:v>Customer</x:v>
      </x:c>
      <x:c r="B24" s="371" t="str">
        <x:v>Unapplied Cash</x:v>
      </x:c>
      <x:c r="C24" s="372" t="str">
        <x:v>Follow-up Priority</x:v>
      </x:c>
    </x:row>
    <x:row r="25" ht="25" customHeight="1">
      <x:c r="A25" s="458" t="str">
        <x:f>'Customer Summary'!A7</x:f>
        <x:v>Ivory Tech Consulting</x:v>
      </x:c>
      <x:c r="B25" s="379" t="n">
        <x:f>'Customer Summary'!E7</x:f>
        <x:v>17110</x:v>
      </x:c>
      <x:c r="C25" s="381" t="str">
        <x:f>'Customer Summary'!I7</x:f>
        <x:v>High</x:v>
      </x:c>
    </x:row>
    <x:row r="26" ht="25" customHeight="1">
      <x:c r="A26" s="459" t="str">
        <x:f>'Customer Summary'!A8</x:f>
        <x:v>Unidentified Customer</x:v>
      </x:c>
      <x:c r="B26" s="380" t="n">
        <x:f>'Customer Summary'!E8</x:f>
        <x:v>5000</x:v>
      </x:c>
      <x:c r="C26" s="382" t="str">
        <x:f>'Customer Summary'!I8</x:f>
        <x:v>High</x:v>
      </x:c>
    </x:row>
    <x:row r="27" ht="25" customHeight="1">
      <x:c r="A27" s="459" t="str">
        <x:f>'Customer Summary'!A9</x:f>
        <x:v>Acadia Health Partners</x:v>
      </x:c>
      <x:c r="B27" s="380" t="n">
        <x:f>'Customer Summary'!E9</x:f>
        <x:v>2600</x:v>
      </x:c>
      <x:c r="C27" s="382" t="str">
        <x:f>'Customer Summary'!I9</x:f>
        <x:v>Medium</x:v>
      </x:c>
    </x:row>
    <x:row r="28" ht="25" customHeight="1">
      <x:c r="A28" s="459" t="str">
        <x:f>'Customer Summary'!A10</x:f>
        <x:v>Gulf Coast Manufacturing</x:v>
      </x:c>
      <x:c r="B28" s="380" t="n">
        <x:f>'Customer Summary'!E10</x:f>
        <x:v>800</x:v>
      </x:c>
      <x:c r="C28" s="382" t="str">
        <x:f>'Customer Summary'!I10</x:f>
        <x:v>Medium</x:v>
      </x:c>
    </x:row>
    <x:row r="33">
      <x:c r="A33" s="343" t="str">
        <x:v>CASH APPLICATION INSIGHTS</x:v>
      </x:c>
      <x:c r="B33" s="344" t="str">
        <x:v>CASH APPLICATION INSIGHTS</x:v>
      </x:c>
      <x:c r="C33" s="344" t="str">
        <x:v>CASH APPLICATION INSIGHTS</x:v>
      </x:c>
      <x:c r="D33" s="344" t="str">
        <x:v>CASH APPLICATION INSIGHTS</x:v>
      </x:c>
      <x:c r="E33" s="344" t="str">
        <x:v>CASH APPLICATION INSIGHTS</x:v>
      </x:c>
      <x:c r="F33" s="344" t="str">
        <x:v>CASH APPLICATION INSIGHTS</x:v>
      </x:c>
      <x:c r="G33" s="344" t="str">
        <x:v>CASH APPLICATION INSIGHTS</x:v>
      </x:c>
      <x:c r="H33" s="344" t="str">
        <x:v>CASH APPLICATION INSIGHTS</x:v>
      </x:c>
      <x:c r="I33" s="344" t="str">
        <x:v>CASH APPLICATION INSIGHTS</x:v>
      </x:c>
      <x:c r="J33" s="344" t="str">
        <x:v>CASH APPLICATION INSIGHTS</x:v>
      </x:c>
      <x:c r="K33" s="344" t="str">
        <x:v>CASH APPLICATION INSIGHTS</x:v>
      </x:c>
      <x:c r="L33" s="344" t="str">
        <x:v>CASH APPLICATION INSIGHTS</x:v>
      </x:c>
      <x:c r="M33" s="344" t="str">
        <x:v>CASH APPLICATION INSIGHTS</x:v>
      </x:c>
      <x:c r="N33" s="344" t="str">
        <x:v>CASH APPLICATION INSIGHTS</x:v>
      </x:c>
      <x:c r="O33" s="345" t="str">
        <x:v>CASH APPLICATION INSIGHTS</x:v>
      </x:c>
    </x:row>
    <x:row r="34">
      <x:c r="A34" s="457" t="str">
        <x:v>Unapplied cash over 7 days</x:v>
      </x:c>
      <x:c r="B34" s="457" t="str">
        <x:v>Unapplied cash over 7 days</x:v>
      </x:c>
      <x:c r="C34" s="457" t="str">
        <x:v>Unapplied cash over 7 days</x:v>
      </x:c>
      <x:c r="D34" s="457"/>
      <x:c r="E34" s="457" t="str">
        <x:v>High-priority customers</x:v>
      </x:c>
      <x:c r="F34" s="457" t="str">
        <x:v>High-priority customers</x:v>
      </x:c>
      <x:c r="G34" s="457" t="str">
        <x:v>High-priority customers</x:v>
      </x:c>
      <x:c r="H34" s="457" t="str">
        <x:v>High-priority customers</x:v>
      </x:c>
      <x:c r="I34" s="457"/>
      <x:c r="J34" s="457" t="str">
        <x:v>Recommended next action</x:v>
      </x:c>
      <x:c r="K34" s="457" t="str">
        <x:v>Recommended next action</x:v>
      </x:c>
      <x:c r="L34" s="457" t="str">
        <x:v>Recommended next action</x:v>
      </x:c>
      <x:c r="M34" s="457" t="str">
        <x:v>Recommended next action</x:v>
      </x:c>
      <x:c r="N34" s="457" t="str">
        <x:v>Recommended next action</x:v>
      </x:c>
      <x:c r="O34" s="457" t="str">
        <x:v>Recommended next action</x:v>
      </x:c>
    </x:row>
    <x:row r="35">
      <x:c r="A35" s="410" t="n">
        <x:f>SUMIFS('Cash Receipts'!$K$7:$K$36,'Cash Receipts'!$N$7:$N$36,"&gt;7")</x:f>
        <x:v>17910</x:v>
      </x:c>
      <x:c r="B35" s="411"/>
      <x:c r="C35" s="412"/>
      <x:c r="E35" s="283" t="n">
        <x:f>COUNTIF('Customer Summary'!$I$7:$I$26,"High")</x:f>
        <x:v>3</x:v>
      </x:c>
      <x:c r="F35" s="284"/>
      <x:c r="G35" s="284"/>
      <x:c r="H35" s="285"/>
      <x:c r="J35" s="446" t="str">
        <x:v>Research the unidentified deposit and missing remittance first, then clear the Acadia and Gulf Coast overpayments and follow up on open invoice balances.</x:v>
      </x:c>
      <x:c r="K35" s="447" t="str">
        <x:v>Research the unidentified deposit and missing remittance first, then clear the Acadia and Gulf Coast overpayments and follow up on open invoice balances.</x:v>
      </x:c>
      <x:c r="L35" s="447" t="str">
        <x:v>Research the unidentified deposit and missing remittance first, then clear the Acadia and Gulf Coast overpayments and follow up on open invoice balances.</x:v>
      </x:c>
      <x:c r="M35" s="447" t="str">
        <x:v>Research the unidentified deposit and missing remittance first, then clear the Acadia and Gulf Coast overpayments and follow up on open invoice balances.</x:v>
      </x:c>
      <x:c r="N35" s="447" t="str">
        <x:v>Research the unidentified deposit and missing remittance first, then clear the Acadia and Gulf Coast overpayments and follow up on open invoice balances.</x:v>
      </x:c>
      <x:c r="O35" s="448" t="str">
        <x:v>Research the unidentified deposit and missing remittance first, then clear the Acadia and Gulf Coast overpayments and follow up on open invoice balances.</x:v>
      </x:c>
    </x:row>
    <x:row r="36">
      <x:c r="A36" s="413"/>
      <x:c r="B36" s="414"/>
      <x:c r="C36" s="415"/>
      <x:c r="E36" s="286"/>
      <x:c r="F36" s="287"/>
      <x:c r="G36" s="287"/>
      <x:c r="H36" s="288"/>
      <x:c r="J36" s="449" t="str">
        <x:v>Research the unidentified deposit and missing remittance first, then clear the Acadia and Gulf Coast overpayments and follow up on open invoice balances.</x:v>
      </x:c>
      <x:c r="K36" s="450" t="str">
        <x:v>Research the unidentified deposit and missing remittance first, then clear the Acadia and Gulf Coast overpayments and follow up on open invoice balances.</x:v>
      </x:c>
      <x:c r="L36" s="450" t="str">
        <x:v>Research the unidentified deposit and missing remittance first, then clear the Acadia and Gulf Coast overpayments and follow up on open invoice balances.</x:v>
      </x:c>
      <x:c r="M36" s="450" t="str">
        <x:v>Research the unidentified deposit and missing remittance first, then clear the Acadia and Gulf Coast overpayments and follow up on open invoice balances.</x:v>
      </x:c>
      <x:c r="N36" s="450" t="str">
        <x:v>Research the unidentified deposit and missing remittance first, then clear the Acadia and Gulf Coast overpayments and follow up on open invoice balances.</x:v>
      </x:c>
      <x:c r="O36" s="451" t="str">
        <x:v>Research the unidentified deposit and missing remittance first, then clear the Acadia and Gulf Coast overpayments and follow up on open invoice balances.</x:v>
      </x:c>
    </x:row>
    <x:row r="37">
      <x:c r="A37" s="413"/>
      <x:c r="B37" s="414"/>
      <x:c r="C37" s="415"/>
      <x:c r="E37" s="286"/>
      <x:c r="F37" s="287"/>
      <x:c r="G37" s="287"/>
      <x:c r="H37" s="288"/>
      <x:c r="J37" s="449" t="str">
        <x:v>Research the unidentified deposit and missing remittance first, then clear the Acadia and Gulf Coast overpayments and follow up on open invoice balances.</x:v>
      </x:c>
      <x:c r="K37" s="450" t="str">
        <x:v>Research the unidentified deposit and missing remittance first, then clear the Acadia and Gulf Coast overpayments and follow up on open invoice balances.</x:v>
      </x:c>
      <x:c r="L37" s="450" t="str">
        <x:v>Research the unidentified deposit and missing remittance first, then clear the Acadia and Gulf Coast overpayments and follow up on open invoice balances.</x:v>
      </x:c>
      <x:c r="M37" s="450" t="str">
        <x:v>Research the unidentified deposit and missing remittance first, then clear the Acadia and Gulf Coast overpayments and follow up on open invoice balances.</x:v>
      </x:c>
      <x:c r="N37" s="450" t="str">
        <x:v>Research the unidentified deposit and missing remittance first, then clear the Acadia and Gulf Coast overpayments and follow up on open invoice balances.</x:v>
      </x:c>
      <x:c r="O37" s="451" t="str">
        <x:v>Research the unidentified deposit and missing remittance first, then clear the Acadia and Gulf Coast overpayments and follow up on open invoice balances.</x:v>
      </x:c>
    </x:row>
    <x:row r="38">
      <x:c r="A38" s="416"/>
      <x:c r="B38" s="417"/>
      <x:c r="C38" s="418"/>
      <x:c r="E38" s="289"/>
      <x:c r="F38" s="290"/>
      <x:c r="G38" s="290"/>
      <x:c r="H38" s="291"/>
      <x:c r="J38" s="452" t="str">
        <x:v>Research the unidentified deposit and missing remittance first, then clear the Acadia and Gulf Coast overpayments and follow up on open invoice balances.</x:v>
      </x:c>
      <x:c r="K38" s="453" t="str">
        <x:v>Research the unidentified deposit and missing remittance first, then clear the Acadia and Gulf Coast overpayments and follow up on open invoice balances.</x:v>
      </x:c>
      <x:c r="L38" s="453" t="str">
        <x:v>Research the unidentified deposit and missing remittance first, then clear the Acadia and Gulf Coast overpayments and follow up on open invoice balances.</x:v>
      </x:c>
      <x:c r="M38" s="453" t="str">
        <x:v>Research the unidentified deposit and missing remittance first, then clear the Acadia and Gulf Coast overpayments and follow up on open invoice balances.</x:v>
      </x:c>
      <x:c r="N38" s="453" t="str">
        <x:v>Research the unidentified deposit and missing remittance first, then clear the Acadia and Gulf Coast overpayments and follow up on open invoice balances.</x:v>
      </x:c>
      <x:c r="O38" s="454" t="str">
        <x:v>Research the unidentified deposit and missing remittance first, then clear the Acadia and Gulf Coast overpayments and follow up on open invoice balances.</x:v>
      </x:c>
    </x:row>
  </x:sheetData>
  <x:mergeCells>
    <x:mergeCell ref="A1:O2"/>
    <x:mergeCell ref="A3:O3"/>
    <x:mergeCell ref="B4:C4"/>
    <x:mergeCell ref="E4:F4"/>
    <x:mergeCell ref="M4:N4"/>
    <x:mergeCell ref="A6:C6"/>
    <x:mergeCell ref="A7:C9"/>
    <x:mergeCell ref="E6:G6"/>
    <x:mergeCell ref="E7:G9"/>
    <x:mergeCell ref="I6:K6"/>
    <x:mergeCell ref="I7:K9"/>
    <x:mergeCell ref="M6:O6"/>
    <x:mergeCell ref="M7:O9"/>
    <x:mergeCell ref="A11:C11"/>
    <x:mergeCell ref="A12:C14"/>
    <x:mergeCell ref="E11:G11"/>
    <x:mergeCell ref="E12:G14"/>
    <x:mergeCell ref="I11:K11"/>
    <x:mergeCell ref="I12:K14"/>
    <x:mergeCell ref="M11:O11"/>
    <x:mergeCell ref="M12:O14"/>
    <x:mergeCell ref="A33:O33"/>
    <x:mergeCell ref="A34:C34"/>
    <x:mergeCell ref="A35:C38"/>
    <x:mergeCell ref="E34:H34"/>
    <x:mergeCell ref="E35:H38"/>
    <x:mergeCell ref="J34:O34"/>
    <x:mergeCell ref="J35:O38"/>
  </x:mergeCells>
  <x:pageMargins left="0.7" right="0.7" top="0.75" bottom="0.75" header="0.3" footer="0.3"/>
  <x:drawing xmlns:r="http://schemas.openxmlformats.org/officeDocument/2006/relationships" r:id="R9880ca1786234b4d"/>
  <x:legacyDrawing xmlns:r="http://schemas.openxmlformats.org/officeDocument/2006/relationships" r:id="R73602de3361f475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7" hidden="0" customWidth="1"/>
    <x:col min="8" max="8" width="16" hidden="0" customWidth="1"/>
    <x:col min="9" max="9" width="17" hidden="0" customWidth="1"/>
    <x:col min="10" max="10" width="16" hidden="0" customWidth="1"/>
    <x:col min="11" max="11" width="15" hidden="0" customWidth="1"/>
    <x:col min="12" max="12" width="22" hidden="0" customWidth="1"/>
  </x:cols>
  <x:sheetData>
    <x:row r="1">
      <x:c r="A1" s="4" t="str">
        <x:v>Invoice Register</x:v>
      </x:c>
      <x:c r="B1" s="4" t="str">
        <x:v>Invoice Register</x:v>
      </x:c>
      <x:c r="C1" s="4" t="str">
        <x:v>Invoice Register</x:v>
      </x:c>
      <x:c r="D1" s="4" t="str">
        <x:v>Invoice Register</x:v>
      </x:c>
      <x:c r="E1" s="4" t="str">
        <x:v>Invoice Register</x:v>
      </x:c>
      <x:c r="F1" s="4" t="str">
        <x:v>Invoice Register</x:v>
      </x:c>
      <x:c r="G1" s="4" t="str">
        <x:v>Invoice Register</x:v>
      </x:c>
      <x:c r="H1" s="4" t="str">
        <x:v>Invoice Register</x:v>
      </x:c>
      <x:c r="I1" s="4" t="str">
        <x:v>Invoice Register</x:v>
      </x:c>
      <x:c r="J1" s="4" t="str">
        <x:v>Invoice Register</x:v>
      </x:c>
      <x:c r="K1" s="4" t="str">
        <x:v>Invoice Register</x:v>
      </x:c>
      <x:c r="L1" s="4" t="str">
        <x:v>Invoice Register</x:v>
      </x:c>
    </x:row>
    <x:row r="2">
      <x:c r="A2" s="4" t="str">
        <x:v>Invoice Register</x:v>
      </x:c>
      <x:c r="B2" s="4" t="str">
        <x:v>Invoice Register</x:v>
      </x:c>
      <x:c r="C2" s="4" t="str">
        <x:v>Invoice Register</x:v>
      </x:c>
      <x:c r="D2" s="4" t="str">
        <x:v>Invoice Register</x:v>
      </x:c>
      <x:c r="E2" s="4" t="str">
        <x:v>Invoice Register</x:v>
      </x:c>
      <x:c r="F2" s="4" t="str">
        <x:v>Invoice Register</x:v>
      </x:c>
      <x:c r="G2" s="4" t="str">
        <x:v>Invoice Register</x:v>
      </x:c>
      <x:c r="H2" s="4" t="str">
        <x:v>Invoice Register</x:v>
      </x:c>
      <x:c r="I2" s="4" t="str">
        <x:v>Invoice Register</x:v>
      </x:c>
      <x:c r="J2" s="4" t="str">
        <x:v>Invoice Register</x:v>
      </x:c>
      <x:c r="K2" s="4" t="str">
        <x:v>Invoice Register</x:v>
      </x:c>
      <x:c r="L2" s="4" t="str">
        <x:v>Invoice Register</x:v>
      </x:c>
    </x:row>
    <x:row r="3">
      <x:c r="A3" s="8" t="str">
        <x:v>Editable invoice inputs with formula-driven applied cash, remaining balance, and follow-up status</x:v>
      </x:c>
      <x:c r="B3" s="8" t="str">
        <x:v>Editable invoice inputs with formula-driven applied cash, remaining balance, and follow-up status</x:v>
      </x:c>
      <x:c r="C3" s="8" t="str">
        <x:v>Editable invoice inputs with formula-driven applied cash, remaining balance, and follow-up status</x:v>
      </x:c>
      <x:c r="D3" s="8" t="str">
        <x:v>Editable invoice inputs with formula-driven applied cash, remaining balance, and follow-up status</x:v>
      </x:c>
      <x:c r="E3" s="8" t="str">
        <x:v>Editable invoice inputs with formula-driven applied cash, remaining balance, and follow-up status</x:v>
      </x:c>
      <x:c r="F3" s="8" t="str">
        <x:v>Editable invoice inputs with formula-driven applied cash, remaining balance, and follow-up status</x:v>
      </x:c>
      <x:c r="G3" s="8" t="str">
        <x:v>Editable invoice inputs with formula-driven applied cash, remaining balance, and follow-up status</x:v>
      </x:c>
      <x:c r="H3" s="8" t="str">
        <x:v>Editable invoice inputs with formula-driven applied cash, remaining balance, and follow-up status</x:v>
      </x:c>
      <x:c r="I3" s="8" t="str">
        <x:v>Editable invoice inputs with formula-driven applied cash, remaining balance, and follow-up status</x:v>
      </x:c>
      <x:c r="J3" s="8" t="str">
        <x:v>Editable invoice inputs with formula-driven applied cash, remaining balance, and follow-up status</x:v>
      </x:c>
      <x:c r="K3" s="8" t="str">
        <x:v>Editable invoice inputs with formula-driven applied cash, remaining balance, and follow-up status</x:v>
      </x:c>
      <x:c r="L3" s="8" t="str">
        <x:v>Editable invoice inputs with formula-driven applied cash, remaining balance, and follow-up status</x:v>
      </x:c>
    </x:row>
    <x:row r="4">
      <x:c r="A4" s="460" t="str">
        <x:v>Input columns A:G. Formula columns H:L update automatically from Application Detail and the Dashboard as-of date.</x:v>
      </x:c>
      <x:c r="B4" s="460" t="str">
        <x:v>Input columns A:G. Formula columns H:L update automatically from Application Detail and the Dashboard as-of date.</x:v>
      </x:c>
      <x:c r="C4" s="460" t="str">
        <x:v>Input columns A:G. Formula columns H:L update automatically from Application Detail and the Dashboard as-of date.</x:v>
      </x:c>
      <x:c r="D4" s="460" t="str">
        <x:v>Input columns A:G. Formula columns H:L update automatically from Application Detail and the Dashboard as-of date.</x:v>
      </x:c>
      <x:c r="E4" s="460" t="str">
        <x:v>Input columns A:G. Formula columns H:L update automatically from Application Detail and the Dashboard as-of date.</x:v>
      </x:c>
      <x:c r="F4" s="460" t="str">
        <x:v>Input columns A:G. Formula columns H:L update automatically from Application Detail and the Dashboard as-of date.</x:v>
      </x:c>
      <x:c r="G4" s="460" t="str">
        <x:v>Input columns A:G. Formula columns H:L update automatically from Application Detail and the Dashboard as-of date.</x:v>
      </x:c>
      <x:c r="H4" s="460" t="str">
        <x:v>Input columns A:G. Formula columns H:L update automatically from Application Detail and the Dashboard as-of date.</x:v>
      </x:c>
      <x:c r="I4" s="460" t="str">
        <x:v>Input columns A:G. Formula columns H:L update automatically from Application Detail and the Dashboard as-of date.</x:v>
      </x:c>
      <x:c r="J4" s="460" t="str">
        <x:v>Input columns A:G. Formula columns H:L update automatically from Application Detail and the Dashboard as-of date.</x:v>
      </x:c>
      <x:c r="K4" s="460" t="str">
        <x:v>Input columns A:G. Formula columns H:L update automatically from Application Detail and the Dashboard as-of date.</x:v>
      </x:c>
      <x:c r="L4" s="460" t="str">
        <x:v>Input columns A:G. Formula columns H:L update automatically from Application Detail and the Dashboard as-of date.</x:v>
      </x:c>
    </x:row>
    <x:row r="6">
      <x:c r="A6" s="464" t="str">
        <x:v>Invoice #</x:v>
      </x:c>
      <x:c r="B6" s="464" t="str">
        <x:v>Customer</x:v>
      </x:c>
      <x:c r="C6" s="464" t="str">
        <x:v>Invoice Date</x:v>
      </x:c>
      <x:c r="D6" s="464" t="str">
        <x:v>Due Date</x:v>
      </x:c>
      <x:c r="E6" s="464" t="str">
        <x:v>Original Amount</x:v>
      </x:c>
      <x:c r="F6" s="464" t="str">
        <x:v>Payment Terms</x:v>
      </x:c>
      <x:c r="G6" s="464" t="str">
        <x:v>Reference</x:v>
      </x:c>
      <x:c r="H6" s="464" t="str">
        <x:v>Applied Amount</x:v>
      </x:c>
      <x:c r="I6" s="464" t="str">
        <x:v>Remaining Balance</x:v>
      </x:c>
      <x:c r="J6" s="464" t="str">
        <x:v>Invoice Status</x:v>
      </x:c>
      <x:c r="K6" s="464" t="str">
        <x:v>Days Outstanding</x:v>
      </x:c>
      <x:c r="L6" s="464" t="str">
        <x:v>Follow-up Exception</x:v>
      </x:c>
    </x:row>
    <x:row r="7" ht="22" customHeight="1">
      <x:c r="A7" s="475" t="str">
        <x:v>INV-1001</x:v>
      </x:c>
      <x:c r="B7" s="476" t="str">
        <x:v>Acadia Health Partners</x:v>
      </x:c>
      <x:c r="C7" s="477" t="n">
        <x:v>46096</x:v>
      </x:c>
      <x:c r="D7" s="477" t="n">
        <x:v>46126</x:v>
      </x:c>
      <x:c r="E7" s="478" t="n">
        <x:v>18250</x:v>
      </x:c>
      <x:c r="F7" s="479" t="str">
        <x:v>Net 30</x:v>
      </x:c>
      <x:c r="G7" s="479" t="str">
        <x:v>PO-AHP-4102</x:v>
      </x:c>
      <x:c r="H7" s="480" t="n">
        <x:f>IF(A7="","",SUMIF('Application Detail'!$C$7:$C$36,A7,'Application Detail'!$D$7:$D$36))</x:f>
        <x:v>18250</x:v>
      </x:c>
      <x:c r="I7" s="480" t="n">
        <x:f>IF(A7="","",E7-H7)</x:f>
        <x:v>0</x:v>
      </x:c>
      <x:c r="J7" s="481" t="str">
        <x:f>IF(A7="","",IF(I7&lt;0,"Overapplied",IF(I7=0,"Paid",IF(H7&gt;0,"Partially Paid","Open"))))</x:f>
        <x:v>Paid</x:v>
      </x:c>
      <x:c r="K7" s="482" t="n">
        <x:f>IF(A7="","",IF(I7&lt;=0,0,MAX(0,'Dashboard'!$B$4-C7)))</x:f>
        <x:v>0</x:v>
      </x:c>
      <x:c r="L7" s="483" t="str">
        <x:f>IF(A7="","",IF(I7&lt;0,"Overapplied",IF(I7=0,"",IF(COUNTIFS('Application Detail'!$C$7:$C$36,A7,'Application Detail'!$F$7:$F$36,"Short Pay")&gt;0,"Short pay",IF(H7&gt;0,"Partial payment","No application")))))</x:f>
      </x:c>
    </x:row>
    <x:row r="8" ht="22" customHeight="1">
      <x:c r="A8" s="484" t="str">
        <x:v>INV-1002</x:v>
      </x:c>
      <x:c r="B8" s="485" t="str">
        <x:v>Acadia Health Partners</x:v>
      </x:c>
      <x:c r="C8" s="486" t="n">
        <x:v>46061</x:v>
      </x:c>
      <x:c r="D8" s="486" t="n">
        <x:v>46091</x:v>
      </x:c>
      <x:c r="E8" s="487" t="n">
        <x:v>22400</x:v>
      </x:c>
      <x:c r="F8" s="488" t="str">
        <x:v>Net 30</x:v>
      </x:c>
      <x:c r="G8" s="488" t="str">
        <x:v>PO-AHP-3988</x:v>
      </x:c>
      <x:c r="H8" s="489" t="n">
        <x:f>IF(A8="","",SUMIF('Application Detail'!$C$7:$C$36,A8,'Application Detail'!$D$7:$D$36))</x:f>
        <x:v>22400</x:v>
      </x:c>
      <x:c r="I8" s="489" t="n">
        <x:f>IF(A8="","",E8-H8)</x:f>
        <x:v>0</x:v>
      </x:c>
      <x:c r="J8" s="490" t="str">
        <x:f>IF(A8="","",IF(I8&lt;0,"Overapplied",IF(I8=0,"Paid",IF(H8&gt;0,"Partially Paid","Open"))))</x:f>
        <x:v>Paid</x:v>
      </x:c>
      <x:c r="K8" s="491" t="n">
        <x:f>IF(A8="","",IF(I8&lt;=0,0,MAX(0,'Dashboard'!$B$4-C8)))</x:f>
        <x:v>0</x:v>
      </x:c>
      <x:c r="L8" s="492" t="str">
        <x:f>IF(A8="","",IF(I8&lt;0,"Overapplied",IF(I8=0,"",IF(COUNTIFS('Application Detail'!$C$7:$C$36,A8,'Application Detail'!$F$7:$F$36,"Short Pay")&gt;0,"Short pay",IF(H8&gt;0,"Partial payment","No application")))))</x:f>
      </x:c>
    </x:row>
    <x:row r="9" ht="22" customHeight="1">
      <x:c r="A9" s="484" t="str">
        <x:v>INV-1003</x:v>
      </x:c>
      <x:c r="B9" s="485" t="str">
        <x:v>Bayou Industrial Supply</x:v>
      </x:c>
      <x:c r="C9" s="486" t="n">
        <x:v>46027</x:v>
      </x:c>
      <x:c r="D9" s="486" t="n">
        <x:v>46057</x:v>
      </x:c>
      <x:c r="E9" s="487" t="n">
        <x:v>31750</x:v>
      </x:c>
      <x:c r="F9" s="488" t="str">
        <x:v>Net 30</x:v>
      </x:c>
      <x:c r="G9" s="488" t="str">
        <x:v>PO-BIS-7751</x:v>
      </x:c>
      <x:c r="H9" s="489" t="n">
        <x:f>IF(A9="","",SUMIF('Application Detail'!$C$7:$C$36,A9,'Application Detail'!$D$7:$D$36))</x:f>
        <x:v>31750</x:v>
      </x:c>
      <x:c r="I9" s="489" t="n">
        <x:f>IF(A9="","",E9-H9)</x:f>
        <x:v>0</x:v>
      </x:c>
      <x:c r="J9" s="490" t="str">
        <x:f>IF(A9="","",IF(I9&lt;0,"Overapplied",IF(I9=0,"Paid",IF(H9&gt;0,"Partially Paid","Open"))))</x:f>
        <x:v>Paid</x:v>
      </x:c>
      <x:c r="K9" s="491" t="n">
        <x:f>IF(A9="","",IF(I9&lt;=0,0,MAX(0,'Dashboard'!$B$4-C9)))</x:f>
        <x:v>0</x:v>
      </x:c>
      <x:c r="L9" s="492" t="str">
        <x:f>IF(A9="","",IF(I9&lt;0,"Overapplied",IF(I9=0,"",IF(COUNTIFS('Application Detail'!$C$7:$C$36,A9,'Application Detail'!$F$7:$F$36,"Short Pay")&gt;0,"Short pay",IF(H9&gt;0,"Partial payment","No application")))))</x:f>
      </x:c>
    </x:row>
    <x:row r="10" ht="22" customHeight="1">
      <x:c r="A10" s="484" t="str">
        <x:v>INV-1004</x:v>
      </x:c>
      <x:c r="B10" s="485" t="str">
        <x:v>Crescent Retail Group</x:v>
      </x:c>
      <x:c r="C10" s="486" t="n">
        <x:v>46162</x:v>
      </x:c>
      <x:c r="D10" s="486" t="n">
        <x:v>46192</x:v>
      </x:c>
      <x:c r="E10" s="487" t="n">
        <x:v>9600</x:v>
      </x:c>
      <x:c r="F10" s="488" t="str">
        <x:v>Net 30</x:v>
      </x:c>
      <x:c r="G10" s="488" t="str">
        <x:v>PO-CRG-2217</x:v>
      </x:c>
      <x:c r="H10" s="489" t="n">
        <x:f>IF(A10="","",SUMIF('Application Detail'!$C$7:$C$36,A10,'Application Detail'!$D$7:$D$36))</x:f>
        <x:v>9500</x:v>
      </x:c>
      <x:c r="I10" s="489" t="n">
        <x:f>IF(A10="","",E10-H10)</x:f>
        <x:v>100</x:v>
      </x:c>
      <x:c r="J10" s="490" t="str">
        <x:f>IF(A10="","",IF(I10&lt;0,"Overapplied",IF(I10=0,"Paid",IF(H10&gt;0,"Partially Paid","Open"))))</x:f>
        <x:v>Partially Paid</x:v>
      </x:c>
      <x:c r="K10" s="491" t="n">
        <x:f>IF(A10="","",IF(I10&lt;=0,0,MAX(0,'Dashboard'!$B$4-C10)))</x:f>
        <x:v>41</x:v>
      </x:c>
      <x:c r="L10" s="492" t="str">
        <x:f>IF(A10="","",IF(I10&lt;0,"Overapplied",IF(I10=0,"",IF(COUNTIFS('Application Detail'!$C$7:$C$36,A10,'Application Detail'!$F$7:$F$36,"Short Pay")&gt;0,"Short pay",IF(H10&gt;0,"Partial payment","No application")))))</x:f>
        <x:v>Short pay</x:v>
      </x:c>
    </x:row>
    <x:row r="11" ht="22" customHeight="1">
      <x:c r="A11" s="484" t="str">
        <x:v>INV-1005</x:v>
      </x:c>
      <x:c r="B11" s="485" t="str">
        <x:v>Delta Municipal Services</x:v>
      </x:c>
      <x:c r="C11" s="486" t="n">
        <x:v>46011</x:v>
      </x:c>
      <x:c r="D11" s="486" t="n">
        <x:v>46041</x:v>
      </x:c>
      <x:c r="E11" s="487" t="n">
        <x:v>48120</x:v>
      </x:c>
      <x:c r="F11" s="488" t="str">
        <x:v>Net 30</x:v>
      </x:c>
      <x:c r="G11" s="488" t="str">
        <x:v>PO-DMS-8804</x:v>
      </x:c>
      <x:c r="H11" s="489" t="n">
        <x:f>IF(A11="","",SUMIF('Application Detail'!$C$7:$C$36,A11,'Application Detail'!$D$7:$D$36))</x:f>
        <x:v>48120</x:v>
      </x:c>
      <x:c r="I11" s="489" t="n">
        <x:f>IF(A11="","",E11-H11)</x:f>
        <x:v>0</x:v>
      </x:c>
      <x:c r="J11" s="490" t="str">
        <x:f>IF(A11="","",IF(I11&lt;0,"Overapplied",IF(I11=0,"Paid",IF(H11&gt;0,"Partially Paid","Open"))))</x:f>
        <x:v>Paid</x:v>
      </x:c>
      <x:c r="K11" s="491" t="n">
        <x:f>IF(A11="","",IF(I11&lt;=0,0,MAX(0,'Dashboard'!$B$4-C11)))</x:f>
        <x:v>0</x:v>
      </x:c>
      <x:c r="L11" s="492" t="str">
        <x:f>IF(A11="","",IF(I11&lt;0,"Overapplied",IF(I11=0,"",IF(COUNTIFS('Application Detail'!$C$7:$C$36,A11,'Application Detail'!$F$7:$F$36,"Short Pay")&gt;0,"Short pay",IF(H11&gt;0,"Partial payment","No application")))))</x:f>
      </x:c>
    </x:row>
    <x:row r="12" ht="22" customHeight="1">
      <x:c r="A12" s="484" t="str">
        <x:v>INV-1006</x:v>
      </x:c>
      <x:c r="B12" s="485" t="str">
        <x:v>Evergreen Medical Labs</x:v>
      </x:c>
      <x:c r="C12" s="486" t="n">
        <x:v>46123</x:v>
      </x:c>
      <x:c r="D12" s="486" t="n">
        <x:v>46153</x:v>
      </x:c>
      <x:c r="E12" s="487" t="n">
        <x:v>14220</x:v>
      </x:c>
      <x:c r="F12" s="488" t="str">
        <x:v>Net 30</x:v>
      </x:c>
      <x:c r="G12" s="488" t="str">
        <x:v>PO-EML-5630</x:v>
      </x:c>
      <x:c r="H12" s="489" t="n">
        <x:f>IF(A12="","",SUMIF('Application Detail'!$C$7:$C$36,A12,'Application Detail'!$D$7:$D$36))</x:f>
        <x:v>10000</x:v>
      </x:c>
      <x:c r="I12" s="489" t="n">
        <x:f>IF(A12="","",E12-H12)</x:f>
        <x:v>4220</x:v>
      </x:c>
      <x:c r="J12" s="490" t="str">
        <x:f>IF(A12="","",IF(I12&lt;0,"Overapplied",IF(I12=0,"Paid",IF(H12&gt;0,"Partially Paid","Open"))))</x:f>
        <x:v>Partially Paid</x:v>
      </x:c>
      <x:c r="K12" s="491" t="n">
        <x:f>IF(A12="","",IF(I12&lt;=0,0,MAX(0,'Dashboard'!$B$4-C12)))</x:f>
        <x:v>80</x:v>
      </x:c>
      <x:c r="L12" s="492" t="str">
        <x:f>IF(A12="","",IF(I12&lt;0,"Overapplied",IF(I12=0,"",IF(COUNTIFS('Application Detail'!$C$7:$C$36,A12,'Application Detail'!$F$7:$F$36,"Short Pay")&gt;0,"Short pay",IF(H12&gt;0,"Partial payment","No application")))))</x:f>
        <x:v>Partial payment</x:v>
      </x:c>
    </x:row>
    <x:row r="13" ht="22" customHeight="1">
      <x:c r="A13" s="484" t="str">
        <x:v>INV-1007</x:v>
      </x:c>
      <x:c r="B13" s="485" t="str">
        <x:v>Frontier Logistics</x:v>
      </x:c>
      <x:c r="C13" s="486" t="n">
        <x:v>46112</x:v>
      </x:c>
      <x:c r="D13" s="486" t="n">
        <x:v>46142</x:v>
      </x:c>
      <x:c r="E13" s="487" t="n">
        <x:v>12500</x:v>
      </x:c>
      <x:c r="F13" s="488" t="str">
        <x:v>Net 30</x:v>
      </x:c>
      <x:c r="G13" s="488" t="str">
        <x:v>PO-FLG-1189</x:v>
      </x:c>
      <x:c r="H13" s="489" t="n">
        <x:f>IF(A13="","",SUMIF('Application Detail'!$C$7:$C$36,A13,'Application Detail'!$D$7:$D$36))</x:f>
        <x:v>12500</x:v>
      </x:c>
      <x:c r="I13" s="489" t="n">
        <x:f>IF(A13="","",E13-H13)</x:f>
        <x:v>0</x:v>
      </x:c>
      <x:c r="J13" s="490" t="str">
        <x:f>IF(A13="","",IF(I13&lt;0,"Overapplied",IF(I13=0,"Paid",IF(H13&gt;0,"Partially Paid","Open"))))</x:f>
        <x:v>Paid</x:v>
      </x:c>
      <x:c r="K13" s="491" t="n">
        <x:f>IF(A13="","",IF(I13&lt;=0,0,MAX(0,'Dashboard'!$B$4-C13)))</x:f>
        <x:v>0</x:v>
      </x:c>
      <x:c r="L13" s="492" t="str">
        <x:f>IF(A13="","",IF(I13&lt;0,"Overapplied",IF(I13=0,"",IF(COUNTIFS('Application Detail'!$C$7:$C$36,A13,'Application Detail'!$F$7:$F$36,"Short Pay")&gt;0,"Short pay",IF(H13&gt;0,"Partial payment","No application")))))</x:f>
      </x:c>
    </x:row>
    <x:row r="14" ht="22" customHeight="1">
      <x:c r="A14" s="484" t="str">
        <x:v>INV-1008</x:v>
      </x:c>
      <x:c r="B14" s="485" t="str">
        <x:v>Gulf Coast Manufacturing</x:v>
      </x:c>
      <x:c r="C14" s="486" t="n">
        <x:v>45979</x:v>
      </x:c>
      <x:c r="D14" s="486" t="n">
        <x:v>46009</x:v>
      </x:c>
      <x:c r="E14" s="487" t="n">
        <x:v>59200</x:v>
      </x:c>
      <x:c r="F14" s="488" t="str">
        <x:v>Net 30</x:v>
      </x:c>
      <x:c r="G14" s="488" t="str">
        <x:v>PO-GCM-9074</x:v>
      </x:c>
      <x:c r="H14" s="489" t="n">
        <x:f>IF(A14="","",SUMIF('Application Detail'!$C$7:$C$36,A14,'Application Detail'!$D$7:$D$36))</x:f>
        <x:v>59200</x:v>
      </x:c>
      <x:c r="I14" s="489" t="n">
        <x:f>IF(A14="","",E14-H14)</x:f>
        <x:v>0</x:v>
      </x:c>
      <x:c r="J14" s="490" t="str">
        <x:f>IF(A14="","",IF(I14&lt;0,"Overapplied",IF(I14=0,"Paid",IF(H14&gt;0,"Partially Paid","Open"))))</x:f>
        <x:v>Paid</x:v>
      </x:c>
      <x:c r="K14" s="491" t="n">
        <x:f>IF(A14="","",IF(I14&lt;=0,0,MAX(0,'Dashboard'!$B$4-C14)))</x:f>
        <x:v>0</x:v>
      </x:c>
      <x:c r="L14" s="492" t="str">
        <x:f>IF(A14="","",IF(I14&lt;0,"Overapplied",IF(I14=0,"",IF(COUNTIFS('Application Detail'!$C$7:$C$36,A14,'Application Detail'!$F$7:$F$36,"Short Pay")&gt;0,"Short pay",IF(H14&gt;0,"Partial payment","No application")))))</x:f>
      </x:c>
    </x:row>
    <x:row r="15" ht="22" customHeight="1">
      <x:c r="A15" s="484" t="str">
        <x:v>INV-1009</x:v>
      </x:c>
      <x:c r="B15" s="485" t="str">
        <x:v>Harbor Energy Co.</x:v>
      </x:c>
      <x:c r="C15" s="486" t="n">
        <x:v>46150</x:v>
      </x:c>
      <x:c r="D15" s="486" t="n">
        <x:v>46180</x:v>
      </x:c>
      <x:c r="E15" s="487" t="n">
        <x:v>8800</x:v>
      </x:c>
      <x:c r="F15" s="488" t="str">
        <x:v>Net 30</x:v>
      </x:c>
      <x:c r="G15" s="488" t="str">
        <x:v>PO-HEC-6401</x:v>
      </x:c>
      <x:c r="H15" s="489" t="n">
        <x:f>IF(A15="","",SUMIF('Application Detail'!$C$7:$C$36,A15,'Application Detail'!$D$7:$D$36))</x:f>
        <x:v>8800</x:v>
      </x:c>
      <x:c r="I15" s="489" t="n">
        <x:f>IF(A15="","",E15-H15)</x:f>
        <x:v>0</x:v>
      </x:c>
      <x:c r="J15" s="490" t="str">
        <x:f>IF(A15="","",IF(I15&lt;0,"Overapplied",IF(I15=0,"Paid",IF(H15&gt;0,"Partially Paid","Open"))))</x:f>
        <x:v>Paid</x:v>
      </x:c>
      <x:c r="K15" s="491" t="n">
        <x:f>IF(A15="","",IF(I15&lt;=0,0,MAX(0,'Dashboard'!$B$4-C15)))</x:f>
        <x:v>0</x:v>
      </x:c>
      <x:c r="L15" s="492" t="str">
        <x:f>IF(A15="","",IF(I15&lt;0,"Overapplied",IF(I15=0,"",IF(COUNTIFS('Application Detail'!$C$7:$C$36,A15,'Application Detail'!$F$7:$F$36,"Short Pay")&gt;0,"Short pay",IF(H15&gt;0,"Partial payment","No application")))))</x:f>
      </x:c>
    </x:row>
    <x:row r="16" ht="22" customHeight="1">
      <x:c r="A16" s="484" t="str">
        <x:v>INV-1010</x:v>
      </x:c>
      <x:c r="B16" s="485" t="str">
        <x:v>Ivory Tech Consulting</x:v>
      </x:c>
      <x:c r="C16" s="486" t="n">
        <x:v>46054</x:v>
      </x:c>
      <x:c r="D16" s="486" t="n">
        <x:v>46084</x:v>
      </x:c>
      <x:c r="E16" s="487" t="n">
        <x:v>17110</x:v>
      </x:c>
      <x:c r="F16" s="488" t="str">
        <x:v>Net 30</x:v>
      </x:c>
      <x:c r="G16" s="488" t="str">
        <x:v>PO-ITC-3308</x:v>
      </x:c>
      <x:c r="H16" s="489" t="n">
        <x:f>IF(A16="","",SUMIF('Application Detail'!$C$7:$C$36,A16,'Application Detail'!$D$7:$D$36))</x:f>
        <x:v>0</x:v>
      </x:c>
      <x:c r="I16" s="489" t="n">
        <x:f>IF(A16="","",E16-H16)</x:f>
        <x:v>17110</x:v>
      </x:c>
      <x:c r="J16" s="490" t="str">
        <x:f>IF(A16="","",IF(I16&lt;0,"Overapplied",IF(I16=0,"Paid",IF(H16&gt;0,"Partially Paid","Open"))))</x:f>
        <x:v>Open</x:v>
      </x:c>
      <x:c r="K16" s="491" t="n">
        <x:f>IF(A16="","",IF(I16&lt;=0,0,MAX(0,'Dashboard'!$B$4-C16)))</x:f>
        <x:v>149</x:v>
      </x:c>
      <x:c r="L16" s="492" t="str">
        <x:f>IF(A16="","",IF(I16&lt;0,"Overapplied",IF(I16=0,"",IF(COUNTIFS('Application Detail'!$C$7:$C$36,A16,'Application Detail'!$F$7:$F$36,"Short Pay")&gt;0,"Short pay",IF(H16&gt;0,"Partial payment","No application")))))</x:f>
        <x:v>No application</x:v>
      </x:c>
    </x:row>
    <x:row r="17" ht="22" customHeight="1">
      <x:c r="A17" s="484" t="str">
        <x:v>INV-1011</x:v>
      </x:c>
      <x:c r="B17" s="485" t="str">
        <x:v>Jefferson Community Care</x:v>
      </x:c>
      <x:c r="C17" s="486" t="n">
        <x:v>46021</x:v>
      </x:c>
      <x:c r="D17" s="486" t="n">
        <x:v>46051</x:v>
      </x:c>
      <x:c r="E17" s="487" t="n">
        <x:v>26500</x:v>
      </x:c>
      <x:c r="F17" s="488" t="str">
        <x:v>Net 30</x:v>
      </x:c>
      <x:c r="G17" s="488" t="str">
        <x:v>PO-JCC-7292</x:v>
      </x:c>
      <x:c r="H17" s="489" t="n">
        <x:f>IF(A17="","",SUMIF('Application Detail'!$C$7:$C$36,A17,'Application Detail'!$D$7:$D$36))</x:f>
        <x:v>0</x:v>
      </x:c>
      <x:c r="I17" s="489" t="n">
        <x:f>IF(A17="","",E17-H17)</x:f>
        <x:v>26500</x:v>
      </x:c>
      <x:c r="J17" s="490" t="str">
        <x:f>IF(A17="","",IF(I17&lt;0,"Overapplied",IF(I17=0,"Paid",IF(H17&gt;0,"Partially Paid","Open"))))</x:f>
        <x:v>Open</x:v>
      </x:c>
      <x:c r="K17" s="491" t="n">
        <x:f>IF(A17="","",IF(I17&lt;=0,0,MAX(0,'Dashboard'!$B$4-C17)))</x:f>
        <x:v>182</x:v>
      </x:c>
      <x:c r="L17" s="492" t="str">
        <x:f>IF(A17="","",IF(I17&lt;0,"Overapplied",IF(I17=0,"",IF(COUNTIFS('Application Detail'!$C$7:$C$36,A17,'Application Detail'!$F$7:$F$36,"Short Pay")&gt;0,"Short pay",IF(H17&gt;0,"Partial payment","No application")))))</x:f>
        <x:v>No application</x:v>
      </x:c>
    </x:row>
    <x:row r="18" ht="22" customHeight="1">
      <x:c r="A18" s="484" t="str">
        <x:v>INV-1015</x:v>
      </x:c>
      <x:c r="B18" s="485" t="str">
        <x:v>North Delta Equipment</x:v>
      </x:c>
      <x:c r="C18" s="486" t="n">
        <x:v>46154</x:v>
      </x:c>
      <x:c r="D18" s="486" t="n">
        <x:v>46184</x:v>
      </x:c>
      <x:c r="E18" s="487" t="n">
        <x:v>13450</x:v>
      </x:c>
      <x:c r="F18" s="488" t="str">
        <x:v>Net 30</x:v>
      </x:c>
      <x:c r="G18" s="488" t="str">
        <x:v>PO-NDE-4516</x:v>
      </x:c>
      <x:c r="H18" s="489" t="n">
        <x:f>IF(A18="","",SUMIF('Application Detail'!$C$7:$C$36,A18,'Application Detail'!$D$7:$D$36))</x:f>
        <x:v>13450</x:v>
      </x:c>
      <x:c r="I18" s="489" t="n">
        <x:f>IF(A18="","",E18-H18)</x:f>
        <x:v>0</x:v>
      </x:c>
      <x:c r="J18" s="490" t="str">
        <x:f>IF(A18="","",IF(I18&lt;0,"Overapplied",IF(I18=0,"Paid",IF(H18&gt;0,"Partially Paid","Open"))))</x:f>
        <x:v>Paid</x:v>
      </x:c>
      <x:c r="K18" s="491" t="n">
        <x:f>IF(A18="","",IF(I18&lt;=0,0,MAX(0,'Dashboard'!$B$4-C18)))</x:f>
        <x:v>0</x:v>
      </x:c>
      <x:c r="L18" s="492" t="str">
        <x:f>IF(A18="","",IF(I18&lt;0,"Overapplied",IF(I18=0,"",IF(COUNTIFS('Application Detail'!$C$7:$C$36,A18,'Application Detail'!$F$7:$F$36,"Short Pay")&gt;0,"Short pay",IF(H18&gt;0,"Partial payment","No application")))))</x:f>
      </x:c>
    </x:row>
    <x:row r="19">
      <x:c r="A19" s="484"/>
      <x:c r="B19" s="485"/>
      <x:c r="C19" s="486"/>
      <x:c r="D19" s="486"/>
      <x:c r="E19" s="487"/>
      <x:c r="F19" s="488"/>
      <x:c r="G19" s="488"/>
      <x:c r="H19" s="489" t="str">
        <x:f>IF(A19="","",SUMIF('Application Detail'!$C$7:$C$36,A19,'Application Detail'!$D$7:$D$36))</x:f>
      </x:c>
      <x:c r="I19" s="489" t="str">
        <x:f>IF(A19="","",E19-H19)</x:f>
      </x:c>
      <x:c r="J19" s="490" t="str">
        <x:f>IF(A19="","",IF(I19&lt;0,"Overapplied",IF(I19=0,"Paid",IF(H19&gt;0,"Partially Paid","Open"))))</x:f>
      </x:c>
      <x:c r="K19" s="491" t="str">
        <x:f>IF(A19="","",IF(I19&lt;=0,0,MAX(0,'Dashboard'!$B$4-C19)))</x:f>
      </x:c>
      <x:c r="L19" s="492" t="str">
        <x:f>IF(A19="","",IF(I19&lt;0,"Overapplied",IF(I19=0,"",IF(COUNTIFS('Application Detail'!$C$7:$C$36,A19,'Application Detail'!$F$7:$F$36,"Short Pay")&gt;0,"Short pay",IF(H19&gt;0,"Partial payment","No application")))))</x:f>
      </x:c>
    </x:row>
    <x:row r="20">
      <x:c r="A20" s="484"/>
      <x:c r="B20" s="485"/>
      <x:c r="C20" s="486"/>
      <x:c r="D20" s="486"/>
      <x:c r="E20" s="487"/>
      <x:c r="F20" s="488"/>
      <x:c r="G20" s="488"/>
      <x:c r="H20" s="489" t="str">
        <x:f>IF(A20="","",SUMIF('Application Detail'!$C$7:$C$36,A20,'Application Detail'!$D$7:$D$36))</x:f>
      </x:c>
      <x:c r="I20" s="489" t="str">
        <x:f>IF(A20="","",E20-H20)</x:f>
      </x:c>
      <x:c r="J20" s="490" t="str">
        <x:f>IF(A20="","",IF(I20&lt;0,"Overapplied",IF(I20=0,"Paid",IF(H20&gt;0,"Partially Paid","Open"))))</x:f>
      </x:c>
      <x:c r="K20" s="491" t="str">
        <x:f>IF(A20="","",IF(I20&lt;=0,0,MAX(0,'Dashboard'!$B$4-C20)))</x:f>
      </x:c>
      <x:c r="L20" s="492" t="str">
        <x:f>IF(A20="","",IF(I20&lt;0,"Overapplied",IF(I20=0,"",IF(COUNTIFS('Application Detail'!$C$7:$C$36,A20,'Application Detail'!$F$7:$F$36,"Short Pay")&gt;0,"Short pay",IF(H20&gt;0,"Partial payment","No application")))))</x:f>
      </x:c>
    </x:row>
    <x:row r="21">
      <x:c r="A21" s="484"/>
      <x:c r="B21" s="485"/>
      <x:c r="C21" s="486"/>
      <x:c r="D21" s="486"/>
      <x:c r="E21" s="487"/>
      <x:c r="F21" s="488"/>
      <x:c r="G21" s="488"/>
      <x:c r="H21" s="489" t="str">
        <x:f>IF(A21="","",SUMIF('Application Detail'!$C$7:$C$36,A21,'Application Detail'!$D$7:$D$36))</x:f>
      </x:c>
      <x:c r="I21" s="489" t="str">
        <x:f>IF(A21="","",E21-H21)</x:f>
      </x:c>
      <x:c r="J21" s="490" t="str">
        <x:f>IF(A21="","",IF(I21&lt;0,"Overapplied",IF(I21=0,"Paid",IF(H21&gt;0,"Partially Paid","Open"))))</x:f>
      </x:c>
      <x:c r="K21" s="491" t="str">
        <x:f>IF(A21="","",IF(I21&lt;=0,0,MAX(0,'Dashboard'!$B$4-C21)))</x:f>
      </x:c>
      <x:c r="L21" s="492" t="str">
        <x:f>IF(A21="","",IF(I21&lt;0,"Overapplied",IF(I21=0,"",IF(COUNTIFS('Application Detail'!$C$7:$C$36,A21,'Application Detail'!$F$7:$F$36,"Short Pay")&gt;0,"Short pay",IF(H21&gt;0,"Partial payment","No application")))))</x:f>
      </x:c>
    </x:row>
    <x:row r="22">
      <x:c r="A22" s="484"/>
      <x:c r="B22" s="485"/>
      <x:c r="C22" s="486"/>
      <x:c r="D22" s="486"/>
      <x:c r="E22" s="487"/>
      <x:c r="F22" s="488"/>
      <x:c r="G22" s="488"/>
      <x:c r="H22" s="489" t="str">
        <x:f>IF(A22="","",SUMIF('Application Detail'!$C$7:$C$36,A22,'Application Detail'!$D$7:$D$36))</x:f>
      </x:c>
      <x:c r="I22" s="489" t="str">
        <x:f>IF(A22="","",E22-H22)</x:f>
      </x:c>
      <x:c r="J22" s="490" t="str">
        <x:f>IF(A22="","",IF(I22&lt;0,"Overapplied",IF(I22=0,"Paid",IF(H22&gt;0,"Partially Paid","Open"))))</x:f>
      </x:c>
      <x:c r="K22" s="491" t="str">
        <x:f>IF(A22="","",IF(I22&lt;=0,0,MAX(0,'Dashboard'!$B$4-C22)))</x:f>
      </x:c>
      <x:c r="L22" s="492" t="str">
        <x:f>IF(A22="","",IF(I22&lt;0,"Overapplied",IF(I22=0,"",IF(COUNTIFS('Application Detail'!$C$7:$C$36,A22,'Application Detail'!$F$7:$F$36,"Short Pay")&gt;0,"Short pay",IF(H22&gt;0,"Partial payment","No application")))))</x:f>
      </x:c>
    </x:row>
    <x:row r="23">
      <x:c r="A23" s="484"/>
      <x:c r="B23" s="485"/>
      <x:c r="C23" s="486"/>
      <x:c r="D23" s="486"/>
      <x:c r="E23" s="487"/>
      <x:c r="F23" s="488"/>
      <x:c r="G23" s="488"/>
      <x:c r="H23" s="489" t="str">
        <x:f>IF(A23="","",SUMIF('Application Detail'!$C$7:$C$36,A23,'Application Detail'!$D$7:$D$36))</x:f>
      </x:c>
      <x:c r="I23" s="489" t="str">
        <x:f>IF(A23="","",E23-H23)</x:f>
      </x:c>
      <x:c r="J23" s="490" t="str">
        <x:f>IF(A23="","",IF(I23&lt;0,"Overapplied",IF(I23=0,"Paid",IF(H23&gt;0,"Partially Paid","Open"))))</x:f>
      </x:c>
      <x:c r="K23" s="491" t="str">
        <x:f>IF(A23="","",IF(I23&lt;=0,0,MAX(0,'Dashboard'!$B$4-C23)))</x:f>
      </x:c>
      <x:c r="L23" s="492" t="str">
        <x:f>IF(A23="","",IF(I23&lt;0,"Overapplied",IF(I23=0,"",IF(COUNTIFS('Application Detail'!$C$7:$C$36,A23,'Application Detail'!$F$7:$F$36,"Short Pay")&gt;0,"Short pay",IF(H23&gt;0,"Partial payment","No application")))))</x:f>
      </x:c>
    </x:row>
    <x:row r="24">
      <x:c r="A24" s="484"/>
      <x:c r="B24" s="485"/>
      <x:c r="C24" s="486"/>
      <x:c r="D24" s="486"/>
      <x:c r="E24" s="487"/>
      <x:c r="F24" s="488"/>
      <x:c r="G24" s="488"/>
      <x:c r="H24" s="489" t="str">
        <x:f>IF(A24="","",SUMIF('Application Detail'!$C$7:$C$36,A24,'Application Detail'!$D$7:$D$36))</x:f>
      </x:c>
      <x:c r="I24" s="489" t="str">
        <x:f>IF(A24="","",E24-H24)</x:f>
      </x:c>
      <x:c r="J24" s="490" t="str">
        <x:f>IF(A24="","",IF(I24&lt;0,"Overapplied",IF(I24=0,"Paid",IF(H24&gt;0,"Partially Paid","Open"))))</x:f>
      </x:c>
      <x:c r="K24" s="491" t="str">
        <x:f>IF(A24="","",IF(I24&lt;=0,0,MAX(0,'Dashboard'!$B$4-C24)))</x:f>
      </x:c>
      <x:c r="L24" s="492" t="str">
        <x:f>IF(A24="","",IF(I24&lt;0,"Overapplied",IF(I24=0,"",IF(COUNTIFS('Application Detail'!$C$7:$C$36,A24,'Application Detail'!$F$7:$F$36,"Short Pay")&gt;0,"Short pay",IF(H24&gt;0,"Partial payment","No application")))))</x:f>
      </x:c>
    </x:row>
    <x:row r="25">
      <x:c r="A25" s="484"/>
      <x:c r="B25" s="485"/>
      <x:c r="C25" s="486"/>
      <x:c r="D25" s="486"/>
      <x:c r="E25" s="487"/>
      <x:c r="F25" s="488"/>
      <x:c r="G25" s="488"/>
      <x:c r="H25" s="489" t="str">
        <x:f>IF(A25="","",SUMIF('Application Detail'!$C$7:$C$36,A25,'Application Detail'!$D$7:$D$36))</x:f>
      </x:c>
      <x:c r="I25" s="489" t="str">
        <x:f>IF(A25="","",E25-H25)</x:f>
      </x:c>
      <x:c r="J25" s="490" t="str">
        <x:f>IF(A25="","",IF(I25&lt;0,"Overapplied",IF(I25=0,"Paid",IF(H25&gt;0,"Partially Paid","Open"))))</x:f>
      </x:c>
      <x:c r="K25" s="491" t="str">
        <x:f>IF(A25="","",IF(I25&lt;=0,0,MAX(0,'Dashboard'!$B$4-C25)))</x:f>
      </x:c>
      <x:c r="L25" s="492" t="str">
        <x:f>IF(A25="","",IF(I25&lt;0,"Overapplied",IF(I25=0,"",IF(COUNTIFS('Application Detail'!$C$7:$C$36,A25,'Application Detail'!$F$7:$F$36,"Short Pay")&gt;0,"Short pay",IF(H25&gt;0,"Partial payment","No application")))))</x:f>
      </x:c>
    </x:row>
    <x:row r="26">
      <x:c r="A26" s="484"/>
      <x:c r="B26" s="485"/>
      <x:c r="C26" s="486"/>
      <x:c r="D26" s="486"/>
      <x:c r="E26" s="487"/>
      <x:c r="F26" s="488"/>
      <x:c r="G26" s="488"/>
      <x:c r="H26" s="489" t="str">
        <x:f>IF(A26="","",SUMIF('Application Detail'!$C$7:$C$36,A26,'Application Detail'!$D$7:$D$36))</x:f>
      </x:c>
      <x:c r="I26" s="489" t="str">
        <x:f>IF(A26="","",E26-H26)</x:f>
      </x:c>
      <x:c r="J26" s="490" t="str">
        <x:f>IF(A26="","",IF(I26&lt;0,"Overapplied",IF(I26=0,"Paid",IF(H26&gt;0,"Partially Paid","Open"))))</x:f>
      </x:c>
      <x:c r="K26" s="491" t="str">
        <x:f>IF(A26="","",IF(I26&lt;=0,0,MAX(0,'Dashboard'!$B$4-C26)))</x:f>
      </x:c>
      <x:c r="L26" s="492" t="str">
        <x:f>IF(A26="","",IF(I26&lt;0,"Overapplied",IF(I26=0,"",IF(COUNTIFS('Application Detail'!$C$7:$C$36,A26,'Application Detail'!$F$7:$F$36,"Short Pay")&gt;0,"Short pay",IF(H26&gt;0,"Partial payment","No application")))))</x:f>
      </x:c>
    </x:row>
    <x:row r="27">
      <x:c r="A27" s="484"/>
      <x:c r="B27" s="485"/>
      <x:c r="C27" s="486"/>
      <x:c r="D27" s="486"/>
      <x:c r="E27" s="487"/>
      <x:c r="F27" s="488"/>
      <x:c r="G27" s="488"/>
      <x:c r="H27" s="489" t="str">
        <x:f>IF(A27="","",SUMIF('Application Detail'!$C$7:$C$36,A27,'Application Detail'!$D$7:$D$36))</x:f>
      </x:c>
      <x:c r="I27" s="489" t="str">
        <x:f>IF(A27="","",E27-H27)</x:f>
      </x:c>
      <x:c r="J27" s="490" t="str">
        <x:f>IF(A27="","",IF(I27&lt;0,"Overapplied",IF(I27=0,"Paid",IF(H27&gt;0,"Partially Paid","Open"))))</x:f>
      </x:c>
      <x:c r="K27" s="491" t="str">
        <x:f>IF(A27="","",IF(I27&lt;=0,0,MAX(0,'Dashboard'!$B$4-C27)))</x:f>
      </x:c>
      <x:c r="L27" s="492" t="str">
        <x:f>IF(A27="","",IF(I27&lt;0,"Overapplied",IF(I27=0,"",IF(COUNTIFS('Application Detail'!$C$7:$C$36,A27,'Application Detail'!$F$7:$F$36,"Short Pay")&gt;0,"Short pay",IF(H27&gt;0,"Partial payment","No application")))))</x:f>
      </x:c>
    </x:row>
    <x:row r="28">
      <x:c r="A28" s="484"/>
      <x:c r="B28" s="485"/>
      <x:c r="C28" s="486"/>
      <x:c r="D28" s="486"/>
      <x:c r="E28" s="487"/>
      <x:c r="F28" s="488"/>
      <x:c r="G28" s="488"/>
      <x:c r="H28" s="489" t="str">
        <x:f>IF(A28="","",SUMIF('Application Detail'!$C$7:$C$36,A28,'Application Detail'!$D$7:$D$36))</x:f>
      </x:c>
      <x:c r="I28" s="489" t="str">
        <x:f>IF(A28="","",E28-H28)</x:f>
      </x:c>
      <x:c r="J28" s="490" t="str">
        <x:f>IF(A28="","",IF(I28&lt;0,"Overapplied",IF(I28=0,"Paid",IF(H28&gt;0,"Partially Paid","Open"))))</x:f>
      </x:c>
      <x:c r="K28" s="491" t="str">
        <x:f>IF(A28="","",IF(I28&lt;=0,0,MAX(0,'Dashboard'!$B$4-C28)))</x:f>
      </x:c>
      <x:c r="L28" s="492" t="str">
        <x:f>IF(A28="","",IF(I28&lt;0,"Overapplied",IF(I28=0,"",IF(COUNTIFS('Application Detail'!$C$7:$C$36,A28,'Application Detail'!$F$7:$F$36,"Short Pay")&gt;0,"Short pay",IF(H28&gt;0,"Partial payment","No application")))))</x:f>
      </x:c>
    </x:row>
    <x:row r="29">
      <x:c r="A29" s="484"/>
      <x:c r="B29" s="485"/>
      <x:c r="C29" s="486"/>
      <x:c r="D29" s="486"/>
      <x:c r="E29" s="487"/>
      <x:c r="F29" s="488"/>
      <x:c r="G29" s="488"/>
      <x:c r="H29" s="489" t="str">
        <x:f>IF(A29="","",SUMIF('Application Detail'!$C$7:$C$36,A29,'Application Detail'!$D$7:$D$36))</x:f>
      </x:c>
      <x:c r="I29" s="489" t="str">
        <x:f>IF(A29="","",E29-H29)</x:f>
      </x:c>
      <x:c r="J29" s="490" t="str">
        <x:f>IF(A29="","",IF(I29&lt;0,"Overapplied",IF(I29=0,"Paid",IF(H29&gt;0,"Partially Paid","Open"))))</x:f>
      </x:c>
      <x:c r="K29" s="491" t="str">
        <x:f>IF(A29="","",IF(I29&lt;=0,0,MAX(0,'Dashboard'!$B$4-C29)))</x:f>
      </x:c>
      <x:c r="L29" s="492" t="str">
        <x:f>IF(A29="","",IF(I29&lt;0,"Overapplied",IF(I29=0,"",IF(COUNTIFS('Application Detail'!$C$7:$C$36,A29,'Application Detail'!$F$7:$F$36,"Short Pay")&gt;0,"Short pay",IF(H29&gt;0,"Partial payment","No application")))))</x:f>
      </x:c>
    </x:row>
    <x:row r="30">
      <x:c r="A30" s="484"/>
      <x:c r="B30" s="485"/>
      <x:c r="C30" s="486"/>
      <x:c r="D30" s="486"/>
      <x:c r="E30" s="487"/>
      <x:c r="F30" s="488"/>
      <x:c r="G30" s="488"/>
      <x:c r="H30" s="489" t="str">
        <x:f>IF(A30="","",SUMIF('Application Detail'!$C$7:$C$36,A30,'Application Detail'!$D$7:$D$36))</x:f>
      </x:c>
      <x:c r="I30" s="489" t="str">
        <x:f>IF(A30="","",E30-H30)</x:f>
      </x:c>
      <x:c r="J30" s="490" t="str">
        <x:f>IF(A30="","",IF(I30&lt;0,"Overapplied",IF(I30=0,"Paid",IF(H30&gt;0,"Partially Paid","Open"))))</x:f>
      </x:c>
      <x:c r="K30" s="491" t="str">
        <x:f>IF(A30="","",IF(I30&lt;=0,0,MAX(0,'Dashboard'!$B$4-C30)))</x:f>
      </x:c>
      <x:c r="L30" s="492" t="str">
        <x:f>IF(A30="","",IF(I30&lt;0,"Overapplied",IF(I30=0,"",IF(COUNTIFS('Application Detail'!$C$7:$C$36,A30,'Application Detail'!$F$7:$F$36,"Short Pay")&gt;0,"Short pay",IF(H30&gt;0,"Partial payment","No application")))))</x:f>
      </x:c>
    </x:row>
    <x:row r="31">
      <x:c r="A31" s="484"/>
      <x:c r="B31" s="485"/>
      <x:c r="C31" s="486"/>
      <x:c r="D31" s="486"/>
      <x:c r="E31" s="487"/>
      <x:c r="F31" s="488"/>
      <x:c r="G31" s="488"/>
      <x:c r="H31" s="489" t="str">
        <x:f>IF(A31="","",SUMIF('Application Detail'!$C$7:$C$36,A31,'Application Detail'!$D$7:$D$36))</x:f>
      </x:c>
      <x:c r="I31" s="489" t="str">
        <x:f>IF(A31="","",E31-H31)</x:f>
      </x:c>
      <x:c r="J31" s="490" t="str">
        <x:f>IF(A31="","",IF(I31&lt;0,"Overapplied",IF(I31=0,"Paid",IF(H31&gt;0,"Partially Paid","Open"))))</x:f>
      </x:c>
      <x:c r="K31" s="491" t="str">
        <x:f>IF(A31="","",IF(I31&lt;=0,0,MAX(0,'Dashboard'!$B$4-C31)))</x:f>
      </x:c>
      <x:c r="L31" s="492" t="str">
        <x:f>IF(A31="","",IF(I31&lt;0,"Overapplied",IF(I31=0,"",IF(COUNTIFS('Application Detail'!$C$7:$C$36,A31,'Application Detail'!$F$7:$F$36,"Short Pay")&gt;0,"Short pay",IF(H31&gt;0,"Partial payment","No application")))))</x:f>
      </x:c>
    </x:row>
    <x:row r="32">
      <x:c r="A32" s="484"/>
      <x:c r="B32" s="485"/>
      <x:c r="C32" s="486"/>
      <x:c r="D32" s="486"/>
      <x:c r="E32" s="487"/>
      <x:c r="F32" s="488"/>
      <x:c r="G32" s="488"/>
      <x:c r="H32" s="489" t="str">
        <x:f>IF(A32="","",SUMIF('Application Detail'!$C$7:$C$36,A32,'Application Detail'!$D$7:$D$36))</x:f>
      </x:c>
      <x:c r="I32" s="489" t="str">
        <x:f>IF(A32="","",E32-H32)</x:f>
      </x:c>
      <x:c r="J32" s="490" t="str">
        <x:f>IF(A32="","",IF(I32&lt;0,"Overapplied",IF(I32=0,"Paid",IF(H32&gt;0,"Partially Paid","Open"))))</x:f>
      </x:c>
      <x:c r="K32" s="491" t="str">
        <x:f>IF(A32="","",IF(I32&lt;=0,0,MAX(0,'Dashboard'!$B$4-C32)))</x:f>
      </x:c>
      <x:c r="L32" s="492" t="str">
        <x:f>IF(A32="","",IF(I32&lt;0,"Overapplied",IF(I32=0,"",IF(COUNTIFS('Application Detail'!$C$7:$C$36,A32,'Application Detail'!$F$7:$F$36,"Short Pay")&gt;0,"Short pay",IF(H32&gt;0,"Partial payment","No application")))))</x:f>
      </x:c>
    </x:row>
    <x:row r="33">
      <x:c r="A33" s="484"/>
      <x:c r="B33" s="485"/>
      <x:c r="C33" s="486"/>
      <x:c r="D33" s="486"/>
      <x:c r="E33" s="487"/>
      <x:c r="F33" s="488"/>
      <x:c r="G33" s="488"/>
      <x:c r="H33" s="489" t="str">
        <x:f>IF(A33="","",SUMIF('Application Detail'!$C$7:$C$36,A33,'Application Detail'!$D$7:$D$36))</x:f>
      </x:c>
      <x:c r="I33" s="489" t="str">
        <x:f>IF(A33="","",E33-H33)</x:f>
      </x:c>
      <x:c r="J33" s="490" t="str">
        <x:f>IF(A33="","",IF(I33&lt;0,"Overapplied",IF(I33=0,"Paid",IF(H33&gt;0,"Partially Paid","Open"))))</x:f>
      </x:c>
      <x:c r="K33" s="491" t="str">
        <x:f>IF(A33="","",IF(I33&lt;=0,0,MAX(0,'Dashboard'!$B$4-C33)))</x:f>
      </x:c>
      <x:c r="L33" s="492" t="str">
        <x:f>IF(A33="","",IF(I33&lt;0,"Overapplied",IF(I33=0,"",IF(COUNTIFS('Application Detail'!$C$7:$C$36,A33,'Application Detail'!$F$7:$F$36,"Short Pay")&gt;0,"Short pay",IF(H33&gt;0,"Partial payment","No application")))))</x:f>
      </x:c>
    </x:row>
    <x:row r="34">
      <x:c r="A34" s="484"/>
      <x:c r="B34" s="485"/>
      <x:c r="C34" s="486"/>
      <x:c r="D34" s="486"/>
      <x:c r="E34" s="487"/>
      <x:c r="F34" s="488"/>
      <x:c r="G34" s="488"/>
      <x:c r="H34" s="489" t="str">
        <x:f>IF(A34="","",SUMIF('Application Detail'!$C$7:$C$36,A34,'Application Detail'!$D$7:$D$36))</x:f>
      </x:c>
      <x:c r="I34" s="489" t="str">
        <x:f>IF(A34="","",E34-H34)</x:f>
      </x:c>
      <x:c r="J34" s="490" t="str">
        <x:f>IF(A34="","",IF(I34&lt;0,"Overapplied",IF(I34=0,"Paid",IF(H34&gt;0,"Partially Paid","Open"))))</x:f>
      </x:c>
      <x:c r="K34" s="491" t="str">
        <x:f>IF(A34="","",IF(I34&lt;=0,0,MAX(0,'Dashboard'!$B$4-C34)))</x:f>
      </x:c>
      <x:c r="L34" s="492" t="str">
        <x:f>IF(A34="","",IF(I34&lt;0,"Overapplied",IF(I34=0,"",IF(COUNTIFS('Application Detail'!$C$7:$C$36,A34,'Application Detail'!$F$7:$F$36,"Short Pay")&gt;0,"Short pay",IF(H34&gt;0,"Partial payment","No application")))))</x:f>
      </x:c>
    </x:row>
    <x:row r="35">
      <x:c r="A35" s="484"/>
      <x:c r="B35" s="485"/>
      <x:c r="C35" s="486"/>
      <x:c r="D35" s="486"/>
      <x:c r="E35" s="487"/>
      <x:c r="F35" s="488"/>
      <x:c r="G35" s="488"/>
      <x:c r="H35" s="489" t="str">
        <x:f>IF(A35="","",SUMIF('Application Detail'!$C$7:$C$36,A35,'Application Detail'!$D$7:$D$36))</x:f>
      </x:c>
      <x:c r="I35" s="489" t="str">
        <x:f>IF(A35="","",E35-H35)</x:f>
      </x:c>
      <x:c r="J35" s="490" t="str">
        <x:f>IF(A35="","",IF(I35&lt;0,"Overapplied",IF(I35=0,"Paid",IF(H35&gt;0,"Partially Paid","Open"))))</x:f>
      </x:c>
      <x:c r="K35" s="491" t="str">
        <x:f>IF(A35="","",IF(I35&lt;=0,0,MAX(0,'Dashboard'!$B$4-C35)))</x:f>
      </x:c>
      <x:c r="L35" s="492" t="str">
        <x:f>IF(A35="","",IF(I35&lt;0,"Overapplied",IF(I35=0,"",IF(COUNTIFS('Application Detail'!$C$7:$C$36,A35,'Application Detail'!$F$7:$F$36,"Short Pay")&gt;0,"Short pay",IF(H35&gt;0,"Partial payment","No application")))))</x:f>
      </x:c>
    </x:row>
    <x:row r="36">
      <x:c r="A36" s="493"/>
      <x:c r="B36" s="494"/>
      <x:c r="C36" s="495"/>
      <x:c r="D36" s="495"/>
      <x:c r="E36" s="496"/>
      <x:c r="F36" s="497"/>
      <x:c r="G36" s="497"/>
      <x:c r="H36" s="498" t="str">
        <x:f>IF(A36="","",SUMIF('Application Detail'!$C$7:$C$36,A36,'Application Detail'!$D$7:$D$36))</x:f>
      </x:c>
      <x:c r="I36" s="498" t="str">
        <x:f>IF(A36="","",E36-H36)</x:f>
      </x:c>
      <x:c r="J36" s="499" t="str">
        <x:f>IF(A36="","",IF(I36&lt;0,"Overapplied",IF(I36=0,"Paid",IF(H36&gt;0,"Partially Paid","Open"))))</x:f>
      </x:c>
      <x:c r="K36" s="500" t="str">
        <x:f>IF(A36="","",IF(I36&lt;=0,0,MAX(0,'Dashboard'!$B$4-C36)))</x:f>
      </x:c>
      <x:c r="L36" s="501" t="str">
        <x:f>IF(A36="","",IF(I36&lt;0,"Overapplied",IF(I36=0,"",IF(COUNTIFS('Application Detail'!$C$7:$C$36,A36,'Application Detail'!$F$7:$F$36,"Short Pay")&gt;0,"Short pay",IF(H36&gt;0,"Partial payment","No application")))))</x:f>
      </x:c>
    </x:row>
  </x:sheetData>
  <x:mergeCells>
    <x:mergeCell ref="A1:L2"/>
    <x:mergeCell ref="A3:L3"/>
    <x:mergeCell ref="A4:L4"/>
  </x:mergeCells>
  <x:conditionalFormatting sqref="J7:J36">
    <x:cfRule type="containsText" dxfId="0" priority="1" operator="containsText" text="Paid"/>
    <x:cfRule type="containsText" dxfId="1" priority="2" operator="containsText" text="Partially"/>
  </x:conditionalFormatting>
  <x:conditionalFormatting sqref="L7:L36">
    <x:cfRule type="expression" dxfId="2" priority="3">
      <x:formula>$L7&lt;&gt;""</x:formula>
    </x:cfRule>
  </x:conditionalFormatting>
  <x:dataValidations count="1">
    <x:dataValidation type="list" sqref="F7:F36">
      <x:formula1>"Net 15,Net 30,Net 45"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e2150665de4a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27" hidden="0" customWidth="1"/>
    <x:col min="4" max="4" width="16" hidden="0" customWidth="1"/>
    <x:col min="5" max="5" width="15" hidden="0" customWidth="1"/>
    <x:col min="6" max="6" width="17" hidden="0" customWidth="1"/>
    <x:col min="7" max="7" width="14" hidden="0" customWidth="1"/>
    <x:col min="8" max="8" width="18" hidden="0" customWidth="1"/>
    <x:col min="9" max="9" width="34" hidden="0" customWidth="1"/>
    <x:col min="10" max="10" width="16" hidden="0" customWidth="1"/>
    <x:col min="11" max="11" width="17" hidden="0" customWidth="1"/>
    <x:col min="12" max="12" width="15" hidden="0" customWidth="1"/>
    <x:col min="13" max="13" width="18" hidden="0" customWidth="1"/>
    <x:col min="14" max="14" width="15" hidden="0" customWidth="1"/>
    <x:col min="15" max="15" width="12" hidden="0" customWidth="1"/>
    <x:col min="16" max="16" width="36" hidden="0" customWidth="1"/>
  </x:cols>
  <x:sheetData>
    <x:row r="1">
      <x:c r="A1" s="4" t="str">
        <x:v>Cash Receipts</x:v>
      </x:c>
      <x:c r="B1" s="4" t="str">
        <x:v>Cash Receipts</x:v>
      </x:c>
      <x:c r="C1" s="4" t="str">
        <x:v>Cash Receipts</x:v>
      </x:c>
      <x:c r="D1" s="4" t="str">
        <x:v>Cash Receipts</x:v>
      </x:c>
      <x:c r="E1" s="4" t="str">
        <x:v>Cash Receipts</x:v>
      </x:c>
      <x:c r="F1" s="4" t="str">
        <x:v>Cash Receipts</x:v>
      </x:c>
      <x:c r="G1" s="4" t="str">
        <x:v>Cash Receipts</x:v>
      </x:c>
      <x:c r="H1" s="4" t="str">
        <x:v>Cash Receipts</x:v>
      </x:c>
      <x:c r="I1" s="4" t="str">
        <x:v>Cash Receipts</x:v>
      </x:c>
      <x:c r="J1" s="4" t="str">
        <x:v>Cash Receipts</x:v>
      </x:c>
      <x:c r="K1" s="4" t="str">
        <x:v>Cash Receipts</x:v>
      </x:c>
      <x:c r="L1" s="4" t="str">
        <x:v>Cash Receipts</x:v>
      </x:c>
      <x:c r="M1" s="4" t="str">
        <x:v>Cash Receipts</x:v>
      </x:c>
      <x:c r="N1" s="4" t="str">
        <x:v>Cash Receipts</x:v>
      </x:c>
      <x:c r="O1" s="4" t="str">
        <x:v>Cash Receipts</x:v>
      </x:c>
      <x:c r="P1" s="4" t="str">
        <x:v>Cash Receipts</x:v>
      </x:c>
    </x:row>
    <x:row r="2">
      <x:c r="A2" s="4" t="str">
        <x:v>Cash Receipts</x:v>
      </x:c>
      <x:c r="B2" s="4" t="str">
        <x:v>Cash Receipts</x:v>
      </x:c>
      <x:c r="C2" s="4" t="str">
        <x:v>Cash Receipts</x:v>
      </x:c>
      <x:c r="D2" s="4" t="str">
        <x:v>Cash Receipts</x:v>
      </x:c>
      <x:c r="E2" s="4" t="str">
        <x:v>Cash Receipts</x:v>
      </x:c>
      <x:c r="F2" s="4" t="str">
        <x:v>Cash Receipts</x:v>
      </x:c>
      <x:c r="G2" s="4" t="str">
        <x:v>Cash Receipts</x:v>
      </x:c>
      <x:c r="H2" s="4" t="str">
        <x:v>Cash Receipts</x:v>
      </x:c>
      <x:c r="I2" s="4" t="str">
        <x:v>Cash Receipts</x:v>
      </x:c>
      <x:c r="J2" s="4" t="str">
        <x:v>Cash Receipts</x:v>
      </x:c>
      <x:c r="K2" s="4" t="str">
        <x:v>Cash Receipts</x:v>
      </x:c>
      <x:c r="L2" s="4" t="str">
        <x:v>Cash Receipts</x:v>
      </x:c>
      <x:c r="M2" s="4" t="str">
        <x:v>Cash Receipts</x:v>
      </x:c>
      <x:c r="N2" s="4" t="str">
        <x:v>Cash Receipts</x:v>
      </x:c>
      <x:c r="O2" s="4" t="str">
        <x:v>Cash Receipts</x:v>
      </x:c>
      <x:c r="P2" s="4" t="str">
        <x:v>Cash Receipts</x:v>
      </x:c>
    </x:row>
    <x:row r="3">
      <x:c r="A3" s="8" t="str">
        <x:v>Receipt-level application status, unapplied cash aging, remittance quality, and follow-up priority</x:v>
      </x:c>
      <x:c r="B3" s="8" t="str">
        <x:v>Receipt-level application status, unapplied cash aging, remittance quality, and follow-up priority</x:v>
      </x:c>
      <x:c r="C3" s="8" t="str">
        <x:v>Receipt-level application status, unapplied cash aging, remittance quality, and follow-up priority</x:v>
      </x:c>
      <x:c r="D3" s="8" t="str">
        <x:v>Receipt-level application status, unapplied cash aging, remittance quality, and follow-up priority</x:v>
      </x:c>
      <x:c r="E3" s="8" t="str">
        <x:v>Receipt-level application status, unapplied cash aging, remittance quality, and follow-up priority</x:v>
      </x:c>
      <x:c r="F3" s="8" t="str">
        <x:v>Receipt-level application status, unapplied cash aging, remittance quality, and follow-up priority</x:v>
      </x:c>
      <x:c r="G3" s="8" t="str">
        <x:v>Receipt-level application status, unapplied cash aging, remittance quality, and follow-up priority</x:v>
      </x:c>
      <x:c r="H3" s="8" t="str">
        <x:v>Receipt-level application status, unapplied cash aging, remittance quality, and follow-up priority</x:v>
      </x:c>
      <x:c r="I3" s="8" t="str">
        <x:v>Receipt-level application status, unapplied cash aging, remittance quality, and follow-up priority</x:v>
      </x:c>
      <x:c r="J3" s="8" t="str">
        <x:v>Receipt-level application status, unapplied cash aging, remittance quality, and follow-up priority</x:v>
      </x:c>
      <x:c r="K3" s="8" t="str">
        <x:v>Receipt-level application status, unapplied cash aging, remittance quality, and follow-up priority</x:v>
      </x:c>
      <x:c r="L3" s="8" t="str">
        <x:v>Receipt-level application status, unapplied cash aging, remittance quality, and follow-up priority</x:v>
      </x:c>
      <x:c r="M3" s="8" t="str">
        <x:v>Receipt-level application status, unapplied cash aging, remittance quality, and follow-up priority</x:v>
      </x:c>
      <x:c r="N3" s="8" t="str">
        <x:v>Receipt-level application status, unapplied cash aging, remittance quality, and follow-up priority</x:v>
      </x:c>
      <x:c r="O3" s="8" t="str">
        <x:v>Receipt-level application status, unapplied cash aging, remittance quality, and follow-up priority</x:v>
      </x:c>
      <x:c r="P3" s="8" t="str">
        <x:v>Receipt-level application status, unapplied cash aging, remittance quality, and follow-up priority</x:v>
      </x:c>
    </x:row>
    <x:row r="4">
      <x:c r="A4" s="460" t="str">
        <x:v>Input columns A:I. Formula columns J:P reconcile each receipt to payment applications and flag unresolved cash.</x:v>
      </x:c>
      <x:c r="B4" s="460" t="str">
        <x:v>Input columns A:I. Formula columns J:P reconcile each receipt to payment applications and flag unresolved cash.</x:v>
      </x:c>
      <x:c r="C4" s="460" t="str">
        <x:v>Input columns A:I. Formula columns J:P reconcile each receipt to payment applications and flag unresolved cash.</x:v>
      </x:c>
      <x:c r="D4" s="460" t="str">
        <x:v>Input columns A:I. Formula columns J:P reconcile each receipt to payment applications and flag unresolved cash.</x:v>
      </x:c>
      <x:c r="E4" s="460" t="str">
        <x:v>Input columns A:I. Formula columns J:P reconcile each receipt to payment applications and flag unresolved cash.</x:v>
      </x:c>
      <x:c r="F4" s="460" t="str">
        <x:v>Input columns A:I. Formula columns J:P reconcile each receipt to payment applications and flag unresolved cash.</x:v>
      </x:c>
      <x:c r="G4" s="460" t="str">
        <x:v>Input columns A:I. Formula columns J:P reconcile each receipt to payment applications and flag unresolved cash.</x:v>
      </x:c>
      <x:c r="H4" s="460" t="str">
        <x:v>Input columns A:I. Formula columns J:P reconcile each receipt to payment applications and flag unresolved cash.</x:v>
      </x:c>
      <x:c r="I4" s="460" t="str">
        <x:v>Input columns A:I. Formula columns J:P reconcile each receipt to payment applications and flag unresolved cash.</x:v>
      </x:c>
      <x:c r="J4" s="460" t="str">
        <x:v>Input columns A:I. Formula columns J:P reconcile each receipt to payment applications and flag unresolved cash.</x:v>
      </x:c>
      <x:c r="K4" s="460" t="str">
        <x:v>Input columns A:I. Formula columns J:P reconcile each receipt to payment applications and flag unresolved cash.</x:v>
      </x:c>
      <x:c r="L4" s="460" t="str">
        <x:v>Input columns A:I. Formula columns J:P reconcile each receipt to payment applications and flag unresolved cash.</x:v>
      </x:c>
      <x:c r="M4" s="460" t="str">
        <x:v>Input columns A:I. Formula columns J:P reconcile each receipt to payment applications and flag unresolved cash.</x:v>
      </x:c>
      <x:c r="N4" s="460" t="str">
        <x:v>Input columns A:I. Formula columns J:P reconcile each receipt to payment applications and flag unresolved cash.</x:v>
      </x:c>
      <x:c r="O4" s="460" t="str">
        <x:v>Input columns A:I. Formula columns J:P reconcile each receipt to payment applications and flag unresolved cash.</x:v>
      </x:c>
      <x:c r="P4" s="460" t="str">
        <x:v>Input columns A:I. Formula columns J:P reconcile each receipt to payment applications and flag unresolved cash.</x:v>
      </x:c>
    </x:row>
    <x:row r="6">
      <x:c r="A6" s="464" t="str">
        <x:v>Payment ID</x:v>
      </x:c>
      <x:c r="B6" s="464" t="str">
        <x:v>Receipt Date</x:v>
      </x:c>
      <x:c r="C6" s="464" t="str">
        <x:v>Customer</x:v>
      </x:c>
      <x:c r="D6" s="464" t="str">
        <x:v>Receipt Amount</x:v>
      </x:c>
      <x:c r="E6" s="464" t="str">
        <x:v>Method</x:v>
      </x:c>
      <x:c r="F6" s="464" t="str">
        <x:v>Bank Reference</x:v>
      </x:c>
      <x:c r="G6" s="464" t="str">
        <x:v>Remittance?</x:v>
      </x:c>
      <x:c r="H6" s="464" t="str">
        <x:v>Remittance Invoice</x:v>
      </x:c>
      <x:c r="I6" s="464" t="str">
        <x:v>Receipt Notes</x:v>
      </x:c>
      <x:c r="J6" s="464" t="str">
        <x:v>Applied Amount</x:v>
      </x:c>
      <x:c r="K6" s="464" t="str">
        <x:v>Unapplied Amount</x:v>
      </x:c>
      <x:c r="L6" s="464" t="str">
        <x:v>Application Rate</x:v>
      </x:c>
      <x:c r="M6" s="464" t="str">
        <x:v>Application Status</x:v>
      </x:c>
      <x:c r="N6" s="464" t="str">
        <x:v>Days Unapplied</x:v>
      </x:c>
      <x:c r="O6" s="464" t="str">
        <x:v>Priority</x:v>
      </x:c>
      <x:c r="P6" s="464" t="str">
        <x:v>Exception Note</x:v>
      </x:c>
    </x:row>
    <x:row r="7" ht="30" customHeight="1">
      <x:c r="A7" s="475" t="str">
        <x:v>PMT-2001</x:v>
      </x:c>
      <x:c r="B7" s="477" t="n">
        <x:v>46175</x:v>
      </x:c>
      <x:c r="C7" s="476" t="str">
        <x:v>Acadia Health Partners</x:v>
      </x:c>
      <x:c r="D7" s="478" t="n">
        <x:v>18250</x:v>
      </x:c>
      <x:c r="E7" s="508" t="str">
        <x:v>ACH</x:v>
      </x:c>
      <x:c r="F7" s="508" t="str">
        <x:v>ACH-90021</x:v>
      </x:c>
      <x:c r="G7" s="508" t="str">
        <x:v>Yes</x:v>
      </x:c>
      <x:c r="H7" s="508" t="str">
        <x:v>INV-1001</x:v>
      </x:c>
      <x:c r="I7" s="509" t="str">
        <x:v>Exact payment</x:v>
      </x:c>
      <x:c r="J7" s="480" t="n">
        <x:f>IF(A7="","",SUMIF('Application Detail'!$B$7:$B$36,A7,'Application Detail'!$D$7:$D$36))</x:f>
        <x:v>18250</x:v>
      </x:c>
      <x:c r="K7" s="480" t="n">
        <x:f>IF(A7="","",D7-J7)</x:f>
        <x:v>0</x:v>
      </x:c>
      <x:c r="L7" s="510" t="n">
        <x:f>IF(A7="","",IFERROR(J7/D7,0))</x:f>
        <x:v>1</x:v>
      </x:c>
      <x:c r="M7" s="511" t="str">
        <x:f>IF(A7="","",IF(K7&lt;0,"Overapplied",IF(J7=0,"Unapplied",IF(K7=0,"Fully Applied","Partially Applied"))))</x:f>
        <x:v>Fully Applied</x:v>
      </x:c>
      <x:c r="N7" s="512" t="n">
        <x:f>IF(A7="","",IF(K7&gt;0,MAX(0,'Dashboard'!$B$4-B7),0))</x:f>
        <x:v>0</x:v>
      </x:c>
      <x:c r="O7" s="511" t="str">
        <x:f>IF(A7="","",IF(M7="Fully Applied","Complete",IF(OR(G7="No",K7&gt;=5000,N7&gt;7),"High","Medium")))</x:f>
        <x:v>Complete</x:v>
      </x:c>
      <x:c r="P7" s="513" t="str">
        <x:f>IF(A7="","",IF(K7&lt;0,"Payment is overapplied",IF(G7="No","Missing remittance or customer identification",IF(K7&gt;0,"Unapplied balance requires resolution",""))))</x:f>
      </x:c>
    </x:row>
    <x:row r="8" ht="30" customHeight="1">
      <x:c r="A8" s="484" t="str">
        <x:v>PMT-2002</x:v>
      </x:c>
      <x:c r="B8" s="486" t="n">
        <x:v>46178</x:v>
      </x:c>
      <x:c r="C8" s="485" t="str">
        <x:v>Bayou Industrial Supply</x:v>
      </x:c>
      <x:c r="D8" s="487" t="n">
        <x:v>31750</x:v>
      </x:c>
      <x:c r="E8" s="514" t="str">
        <x:v>Wire</x:v>
      </x:c>
      <x:c r="F8" s="514" t="str">
        <x:v>WIRE-77104</x:v>
      </x:c>
      <x:c r="G8" s="514" t="str">
        <x:v>Yes</x:v>
      </x:c>
      <x:c r="H8" s="514" t="str">
        <x:v>INV-1003</x:v>
      </x:c>
      <x:c r="I8" s="515" t="str">
        <x:v>Exact payment</x:v>
      </x:c>
      <x:c r="J8" s="489" t="n">
        <x:f>IF(A8="","",SUMIF('Application Detail'!$B$7:$B$36,A8,'Application Detail'!$D$7:$D$36))</x:f>
        <x:v>31750</x:v>
      </x:c>
      <x:c r="K8" s="489" t="n">
        <x:f>IF(A8="","",D8-J8)</x:f>
        <x:v>0</x:v>
      </x:c>
      <x:c r="L8" s="516" t="n">
        <x:f>IF(A8="","",IFERROR(J8/D8,0))</x:f>
        <x:v>1</x:v>
      </x:c>
      <x:c r="M8" s="517" t="str">
        <x:f>IF(A8="","",IF(K8&lt;0,"Overapplied",IF(J8=0,"Unapplied",IF(K8=0,"Fully Applied","Partially Applied"))))</x:f>
        <x:v>Fully Applied</x:v>
      </x:c>
      <x:c r="N8" s="518" t="n">
        <x:f>IF(A8="","",IF(K8&gt;0,MAX(0,'Dashboard'!$B$4-B8),0))</x:f>
        <x:v>0</x:v>
      </x:c>
      <x:c r="O8" s="517" t="str">
        <x:f>IF(A8="","",IF(M8="Fully Applied","Complete",IF(OR(G8="No",K8&gt;=5000,N8&gt;7),"High","Medium")))</x:f>
        <x:v>Complete</x:v>
      </x:c>
      <x:c r="P8" s="519" t="str">
        <x:f>IF(A8="","",IF(K8&lt;0,"Payment is overapplied",IF(G8="No","Missing remittance or customer identification",IF(K8&gt;0,"Unapplied balance requires resolution",""))))</x:f>
      </x:c>
    </x:row>
    <x:row r="9" ht="30" customHeight="1">
      <x:c r="A9" s="484" t="str">
        <x:v>PMT-2003</x:v>
      </x:c>
      <x:c r="B9" s="486" t="n">
        <x:v>46181</x:v>
      </x:c>
      <x:c r="C9" s="485" t="str">
        <x:v>Crescent Retail Group</x:v>
      </x:c>
      <x:c r="D9" s="487" t="n">
        <x:v>9500</x:v>
      </x:c>
      <x:c r="E9" s="514" t="str">
        <x:v>Credit Card</x:v>
      </x:c>
      <x:c r="F9" s="514" t="str">
        <x:v>CC-44812</x:v>
      </x:c>
      <x:c r="G9" s="514" t="str">
        <x:v>Yes</x:v>
      </x:c>
      <x:c r="H9" s="514" t="str">
        <x:v>INV-1004</x:v>
      </x:c>
      <x:c r="I9" s="515" t="str">
        <x:v>Short pay pending customer confirmation</x:v>
      </x:c>
      <x:c r="J9" s="489" t="n">
        <x:f>IF(A9="","",SUMIF('Application Detail'!$B$7:$B$36,A9,'Application Detail'!$D$7:$D$36))</x:f>
        <x:v>9500</x:v>
      </x:c>
      <x:c r="K9" s="489" t="n">
        <x:f>IF(A9="","",D9-J9)</x:f>
        <x:v>0</x:v>
      </x:c>
      <x:c r="L9" s="516" t="n">
        <x:f>IF(A9="","",IFERROR(J9/D9,0))</x:f>
        <x:v>1</x:v>
      </x:c>
      <x:c r="M9" s="517" t="str">
        <x:f>IF(A9="","",IF(K9&lt;0,"Overapplied",IF(J9=0,"Unapplied",IF(K9=0,"Fully Applied","Partially Applied"))))</x:f>
        <x:v>Fully Applied</x:v>
      </x:c>
      <x:c r="N9" s="518" t="n">
        <x:f>IF(A9="","",IF(K9&gt;0,MAX(0,'Dashboard'!$B$4-B9),0))</x:f>
        <x:v>0</x:v>
      </x:c>
      <x:c r="O9" s="517" t="str">
        <x:f>IF(A9="","",IF(M9="Fully Applied","Complete",IF(OR(G9="No",K9&gt;=5000,N9&gt;7),"High","Medium")))</x:f>
        <x:v>Complete</x:v>
      </x:c>
      <x:c r="P9" s="519" t="str">
        <x:f>IF(A9="","",IF(K9&lt;0,"Payment is overapplied",IF(G9="No","Missing remittance or customer identification",IF(K9&gt;0,"Unapplied balance requires resolution",""))))</x:f>
      </x:c>
    </x:row>
    <x:row r="10" ht="30" customHeight="1">
      <x:c r="A10" s="484" t="str">
        <x:v>PMT-2004</x:v>
      </x:c>
      <x:c r="B10" s="486" t="n">
        <x:v>46183</x:v>
      </x:c>
      <x:c r="C10" s="485" t="str">
        <x:v>Delta Municipal Services</x:v>
      </x:c>
      <x:c r="D10" s="487" t="n">
        <x:v>48120</x:v>
      </x:c>
      <x:c r="E10" s="514" t="str">
        <x:v>ACH</x:v>
      </x:c>
      <x:c r="F10" s="514" t="str">
        <x:v>ACH-90088</x:v>
      </x:c>
      <x:c r="G10" s="514" t="str">
        <x:v>Yes</x:v>
      </x:c>
      <x:c r="H10" s="514" t="str">
        <x:v>INV-1005</x:v>
      </x:c>
      <x:c r="I10" s="515" t="str">
        <x:v>Exact payment</x:v>
      </x:c>
      <x:c r="J10" s="489" t="n">
        <x:f>IF(A10="","",SUMIF('Application Detail'!$B$7:$B$36,A10,'Application Detail'!$D$7:$D$36))</x:f>
        <x:v>48120</x:v>
      </x:c>
      <x:c r="K10" s="489" t="n">
        <x:f>IF(A10="","",D10-J10)</x:f>
        <x:v>0</x:v>
      </x:c>
      <x:c r="L10" s="516" t="n">
        <x:f>IF(A10="","",IFERROR(J10/D10,0))</x:f>
        <x:v>1</x:v>
      </x:c>
      <x:c r="M10" s="517" t="str">
        <x:f>IF(A10="","",IF(K10&lt;0,"Overapplied",IF(J10=0,"Unapplied",IF(K10=0,"Fully Applied","Partially Applied"))))</x:f>
        <x:v>Fully Applied</x:v>
      </x:c>
      <x:c r="N10" s="518" t="n">
        <x:f>IF(A10="","",IF(K10&gt;0,MAX(0,'Dashboard'!$B$4-B10),0))</x:f>
        <x:v>0</x:v>
      </x:c>
      <x:c r="O10" s="517" t="str">
        <x:f>IF(A10="","",IF(M10="Fully Applied","Complete",IF(OR(G10="No",K10&gt;=5000,N10&gt;7),"High","Medium")))</x:f>
        <x:v>Complete</x:v>
      </x:c>
      <x:c r="P10" s="519" t="str">
        <x:f>IF(A10="","",IF(K10&lt;0,"Payment is overapplied",IF(G10="No","Missing remittance or customer identification",IF(K10&gt;0,"Unapplied balance requires resolution",""))))</x:f>
      </x:c>
    </x:row>
    <x:row r="11" ht="30" customHeight="1">
      <x:c r="A11" s="484" t="str">
        <x:v>PMT-2005</x:v>
      </x:c>
      <x:c r="B11" s="486" t="n">
        <x:v>46185</x:v>
      </x:c>
      <x:c r="C11" s="485" t="str">
        <x:v>Evergreen Medical Labs</x:v>
      </x:c>
      <x:c r="D11" s="487" t="n">
        <x:v>10000</x:v>
      </x:c>
      <x:c r="E11" s="514" t="str">
        <x:v>Check</x:v>
      </x:c>
      <x:c r="F11" s="514" t="str">
        <x:v>CHK-88341</x:v>
      </x:c>
      <x:c r="G11" s="514" t="str">
        <x:v>Yes</x:v>
      </x:c>
      <x:c r="H11" s="514" t="str">
        <x:v>INV-1006</x:v>
      </x:c>
      <x:c r="I11" s="515" t="str">
        <x:v>Partial payment</x:v>
      </x:c>
      <x:c r="J11" s="489" t="n">
        <x:f>IF(A11="","",SUMIF('Application Detail'!$B$7:$B$36,A11,'Application Detail'!$D$7:$D$36))</x:f>
        <x:v>10000</x:v>
      </x:c>
      <x:c r="K11" s="489" t="n">
        <x:f>IF(A11="","",D11-J11)</x:f>
        <x:v>0</x:v>
      </x:c>
      <x:c r="L11" s="516" t="n">
        <x:f>IF(A11="","",IFERROR(J11/D11,0))</x:f>
        <x:v>1</x:v>
      </x:c>
      <x:c r="M11" s="517" t="str">
        <x:f>IF(A11="","",IF(K11&lt;0,"Overapplied",IF(J11=0,"Unapplied",IF(K11=0,"Fully Applied","Partially Applied"))))</x:f>
        <x:v>Fully Applied</x:v>
      </x:c>
      <x:c r="N11" s="518" t="n">
        <x:f>IF(A11="","",IF(K11&gt;0,MAX(0,'Dashboard'!$B$4-B11),0))</x:f>
        <x:v>0</x:v>
      </x:c>
      <x:c r="O11" s="517" t="str">
        <x:f>IF(A11="","",IF(M11="Fully Applied","Complete",IF(OR(G11="No",K11&gt;=5000,N11&gt;7),"High","Medium")))</x:f>
        <x:v>Complete</x:v>
      </x:c>
      <x:c r="P11" s="519" t="str">
        <x:f>IF(A11="","",IF(K11&lt;0,"Payment is overapplied",IF(G11="No","Missing remittance or customer identification",IF(K11&gt;0,"Unapplied balance requires resolution",""))))</x:f>
      </x:c>
    </x:row>
    <x:row r="12" ht="30" customHeight="1">
      <x:c r="A12" s="484" t="str">
        <x:v>PMT-2006</x:v>
      </x:c>
      <x:c r="B12" s="486" t="n">
        <x:v>46188</x:v>
      </x:c>
      <x:c r="C12" s="485" t="str">
        <x:v>Frontier Logistics</x:v>
      </x:c>
      <x:c r="D12" s="487" t="n">
        <x:v>12500</x:v>
      </x:c>
      <x:c r="E12" s="514" t="str">
        <x:v>Wire</x:v>
      </x:c>
      <x:c r="F12" s="514" t="str">
        <x:v>WIRE-77220</x:v>
      </x:c>
      <x:c r="G12" s="514" t="str">
        <x:v>Yes</x:v>
      </x:c>
      <x:c r="H12" s="514" t="str">
        <x:v>INV-1007</x:v>
      </x:c>
      <x:c r="I12" s="515" t="str">
        <x:v>Exact payment</x:v>
      </x:c>
      <x:c r="J12" s="489" t="n">
        <x:f>IF(A12="","",SUMIF('Application Detail'!$B$7:$B$36,A12,'Application Detail'!$D$7:$D$36))</x:f>
        <x:v>12500</x:v>
      </x:c>
      <x:c r="K12" s="489" t="n">
        <x:f>IF(A12="","",D12-J12)</x:f>
        <x:v>0</x:v>
      </x:c>
      <x:c r="L12" s="516" t="n">
        <x:f>IF(A12="","",IFERROR(J12/D12,0))</x:f>
        <x:v>1</x:v>
      </x:c>
      <x:c r="M12" s="517" t="str">
        <x:f>IF(A12="","",IF(K12&lt;0,"Overapplied",IF(J12=0,"Unapplied",IF(K12=0,"Fully Applied","Partially Applied"))))</x:f>
        <x:v>Fully Applied</x:v>
      </x:c>
      <x:c r="N12" s="518" t="n">
        <x:f>IF(A12="","",IF(K12&gt;0,MAX(0,'Dashboard'!$B$4-B12),0))</x:f>
        <x:v>0</x:v>
      </x:c>
      <x:c r="O12" s="517" t="str">
        <x:f>IF(A12="","",IF(M12="Fully Applied","Complete",IF(OR(G12="No",K12&gt;=5000,N12&gt;7),"High","Medium")))</x:f>
        <x:v>Complete</x:v>
      </x:c>
      <x:c r="P12" s="519" t="str">
        <x:f>IF(A12="","",IF(K12&lt;0,"Payment is overapplied",IF(G12="No","Missing remittance or customer identification",IF(K12&gt;0,"Unapplied balance requires resolution",""))))</x:f>
      </x:c>
    </x:row>
    <x:row r="13" ht="30" customHeight="1">
      <x:c r="A13" s="484" t="str">
        <x:v>PMT-2007</x:v>
      </x:c>
      <x:c r="B13" s="486" t="n">
        <x:v>46191</x:v>
      </x:c>
      <x:c r="C13" s="485" t="str">
        <x:v>Gulf Coast Manufacturing</x:v>
      </x:c>
      <x:c r="D13" s="487" t="n">
        <x:v>60000</x:v>
      </x:c>
      <x:c r="E13" s="514" t="str">
        <x:v>ACH</x:v>
      </x:c>
      <x:c r="F13" s="514" t="str">
        <x:v>ACH-90176</x:v>
      </x:c>
      <x:c r="G13" s="514" t="str">
        <x:v>Yes</x:v>
      </x:c>
      <x:c r="H13" s="514" t="str">
        <x:v>INV-1008</x:v>
      </x:c>
      <x:c r="I13" s="515" t="str">
        <x:v>Overpayment creates unapplied cash</x:v>
      </x:c>
      <x:c r="J13" s="489" t="n">
        <x:f>IF(A13="","",SUMIF('Application Detail'!$B$7:$B$36,A13,'Application Detail'!$D$7:$D$36))</x:f>
        <x:v>59200</x:v>
      </x:c>
      <x:c r="K13" s="489" t="n">
        <x:f>IF(A13="","",D13-J13)</x:f>
        <x:v>800</x:v>
      </x:c>
      <x:c r="L13" s="516" t="n">
        <x:f>IF(A13="","",IFERROR(J13/D13,0))</x:f>
        <x:v>0.9866666666666667</x:v>
      </x:c>
      <x:c r="M13" s="517" t="str">
        <x:f>IF(A13="","",IF(K13&lt;0,"Overapplied",IF(J13=0,"Unapplied",IF(K13=0,"Fully Applied","Partially Applied"))))</x:f>
        <x:v>Partially Applied</x:v>
      </x:c>
      <x:c r="N13" s="518" t="n">
        <x:f>IF(A13="","",IF(K13&gt;0,MAX(0,'Dashboard'!$B$4-B13),0))</x:f>
        <x:v>12</x:v>
      </x:c>
      <x:c r="O13" s="517" t="str">
        <x:f>IF(A13="","",IF(M13="Fully Applied","Complete",IF(OR(G13="No",K13&gt;=5000,N13&gt;7),"High","Medium")))</x:f>
        <x:v>High</x:v>
      </x:c>
      <x:c r="P13" s="519" t="str">
        <x:f>IF(A13="","",IF(K13&lt;0,"Payment is overapplied",IF(G13="No","Missing remittance or customer identification",IF(K13&gt;0,"Unapplied balance requires resolution",""))))</x:f>
        <x:v>Unapplied balance requires resolution</x:v>
      </x:c>
    </x:row>
    <x:row r="14" ht="30" customHeight="1">
      <x:c r="A14" s="484" t="str">
        <x:v>PMT-2008</x:v>
      </x:c>
      <x:c r="B14" s="486" t="n">
        <x:v>46193</x:v>
      </x:c>
      <x:c r="C14" s="485" t="str">
        <x:v>Harbor Energy Co.</x:v>
      </x:c>
      <x:c r="D14" s="487" t="n">
        <x:v>8800</x:v>
      </x:c>
      <x:c r="E14" s="514" t="str">
        <x:v>Credit Card</x:v>
      </x:c>
      <x:c r="F14" s="514" t="str">
        <x:v>CC-45002</x:v>
      </x:c>
      <x:c r="G14" s="514" t="str">
        <x:v>Yes</x:v>
      </x:c>
      <x:c r="H14" s="514" t="str">
        <x:v>INV-1009</x:v>
      </x:c>
      <x:c r="I14" s="515" t="str">
        <x:v>Exact payment</x:v>
      </x:c>
      <x:c r="J14" s="489" t="n">
        <x:f>IF(A14="","",SUMIF('Application Detail'!$B$7:$B$36,A14,'Application Detail'!$D$7:$D$36))</x:f>
        <x:v>8800</x:v>
      </x:c>
      <x:c r="K14" s="489" t="n">
        <x:f>IF(A14="","",D14-J14)</x:f>
        <x:v>0</x:v>
      </x:c>
      <x:c r="L14" s="516" t="n">
        <x:f>IF(A14="","",IFERROR(J14/D14,0))</x:f>
        <x:v>1</x:v>
      </x:c>
      <x:c r="M14" s="517" t="str">
        <x:f>IF(A14="","",IF(K14&lt;0,"Overapplied",IF(J14=0,"Unapplied",IF(K14=0,"Fully Applied","Partially Applied"))))</x:f>
        <x:v>Fully Applied</x:v>
      </x:c>
      <x:c r="N14" s="518" t="n">
        <x:f>IF(A14="","",IF(K14&gt;0,MAX(0,'Dashboard'!$B$4-B14),0))</x:f>
        <x:v>0</x:v>
      </x:c>
      <x:c r="O14" s="517" t="str">
        <x:f>IF(A14="","",IF(M14="Fully Applied","Complete",IF(OR(G14="No",K14&gt;=5000,N14&gt;7),"High","Medium")))</x:f>
        <x:v>Complete</x:v>
      </x:c>
      <x:c r="P14" s="519" t="str">
        <x:f>IF(A14="","",IF(K14&lt;0,"Payment is overapplied",IF(G14="No","Missing remittance or customer identification",IF(K14&gt;0,"Unapplied balance requires resolution",""))))</x:f>
      </x:c>
    </x:row>
    <x:row r="15" ht="30" customHeight="1">
      <x:c r="A15" s="484" t="str">
        <x:v>PMT-2009</x:v>
      </x:c>
      <x:c r="B15" s="486" t="n">
        <x:v>46195</x:v>
      </x:c>
      <x:c r="C15" s="485" t="str">
        <x:v>Ivory Tech Consulting</x:v>
      </x:c>
      <x:c r="D15" s="487" t="n">
        <x:v>17110</x:v>
      </x:c>
      <x:c r="E15" s="514" t="str">
        <x:v>Check</x:v>
      </x:c>
      <x:c r="F15" s="514" t="str">
        <x:v>CHK-88409</x:v>
      </x:c>
      <x:c r="G15" s="514" t="str">
        <x:v>No</x:v>
      </x:c>
      <x:c r="H15" s="514" t="str"/>
      <x:c r="I15" s="515" t="str">
        <x:v>Missing remittance advice</x:v>
      </x:c>
      <x:c r="J15" s="489" t="n">
        <x:f>IF(A15="","",SUMIF('Application Detail'!$B$7:$B$36,A15,'Application Detail'!$D$7:$D$36))</x:f>
        <x:v>0</x:v>
      </x:c>
      <x:c r="K15" s="489" t="n">
        <x:f>IF(A15="","",D15-J15)</x:f>
        <x:v>17110</x:v>
      </x:c>
      <x:c r="L15" s="516" t="n">
        <x:f>IF(A15="","",IFERROR(J15/D15,0))</x:f>
        <x:v>0</x:v>
      </x:c>
      <x:c r="M15" s="517" t="str">
        <x:f>IF(A15="","",IF(K15&lt;0,"Overapplied",IF(J15=0,"Unapplied",IF(K15=0,"Fully Applied","Partially Applied"))))</x:f>
        <x:v>Unapplied</x:v>
      </x:c>
      <x:c r="N15" s="518" t="n">
        <x:f>IF(A15="","",IF(K15&gt;0,MAX(0,'Dashboard'!$B$4-B15),0))</x:f>
        <x:v>8</x:v>
      </x:c>
      <x:c r="O15" s="517" t="str">
        <x:f>IF(A15="","",IF(M15="Fully Applied","Complete",IF(OR(G15="No",K15&gt;=5000,N15&gt;7),"High","Medium")))</x:f>
        <x:v>High</x:v>
      </x:c>
      <x:c r="P15" s="519" t="str">
        <x:f>IF(A15="","",IF(K15&lt;0,"Payment is overapplied",IF(G15="No","Missing remittance or customer identification",IF(K15&gt;0,"Unapplied balance requires resolution",""))))</x:f>
        <x:v>Missing remittance or customer identification</x:v>
      </x:c>
    </x:row>
    <x:row r="16" ht="30" customHeight="1">
      <x:c r="A16" s="484" t="str">
        <x:v>PMT-2010</x:v>
      </x:c>
      <x:c r="B16" s="486" t="n">
        <x:v>46198</x:v>
      </x:c>
      <x:c r="C16" s="485" t="str">
        <x:v>Acadia Health Partners</x:v>
      </x:c>
      <x:c r="D16" s="487" t="n">
        <x:v>25000</x:v>
      </x:c>
      <x:c r="E16" s="514" t="str">
        <x:v>ACH</x:v>
      </x:c>
      <x:c r="F16" s="514" t="str">
        <x:v>ACH-90251</x:v>
      </x:c>
      <x:c r="G16" s="514" t="str">
        <x:v>Yes</x:v>
      </x:c>
      <x:c r="H16" s="514" t="str">
        <x:v>INV-1002</x:v>
      </x:c>
      <x:c r="I16" s="515" t="str">
        <x:v>Overpayment creates unapplied cash</x:v>
      </x:c>
      <x:c r="J16" s="489" t="n">
        <x:f>IF(A16="","",SUMIF('Application Detail'!$B$7:$B$36,A16,'Application Detail'!$D$7:$D$36))</x:f>
        <x:v>22400</x:v>
      </x:c>
      <x:c r="K16" s="489" t="n">
        <x:f>IF(A16="","",D16-J16)</x:f>
        <x:v>2600</x:v>
      </x:c>
      <x:c r="L16" s="516" t="n">
        <x:f>IF(A16="","",IFERROR(J16/D16,0))</x:f>
        <x:v>0.896</x:v>
      </x:c>
      <x:c r="M16" s="517" t="str">
        <x:f>IF(A16="","",IF(K16&lt;0,"Overapplied",IF(J16=0,"Unapplied",IF(K16=0,"Fully Applied","Partially Applied"))))</x:f>
        <x:v>Partially Applied</x:v>
      </x:c>
      <x:c r="N16" s="518" t="n">
        <x:f>IF(A16="","",IF(K16&gt;0,MAX(0,'Dashboard'!$B$4-B16),0))</x:f>
        <x:v>5</x:v>
      </x:c>
      <x:c r="O16" s="517" t="str">
        <x:f>IF(A16="","",IF(M16="Fully Applied","Complete",IF(OR(G16="No",K16&gt;=5000,N16&gt;7),"High","Medium")))</x:f>
        <x:v>Medium</x:v>
      </x:c>
      <x:c r="P16" s="519" t="str">
        <x:f>IF(A16="","",IF(K16&lt;0,"Payment is overapplied",IF(G16="No","Missing remittance or customer identification",IF(K16&gt;0,"Unapplied balance requires resolution",""))))</x:f>
        <x:v>Unapplied balance requires resolution</x:v>
      </x:c>
    </x:row>
    <x:row r="17" ht="30" customHeight="1">
      <x:c r="A17" s="484" t="str">
        <x:v>PMT-2011</x:v>
      </x:c>
      <x:c r="B17" s="486" t="n">
        <x:v>46199</x:v>
      </x:c>
      <x:c r="C17" s="485" t="str">
        <x:v>North Delta Equipment</x:v>
      </x:c>
      <x:c r="D17" s="487" t="n">
        <x:v>13450</x:v>
      </x:c>
      <x:c r="E17" s="514" t="str">
        <x:v>ACH</x:v>
      </x:c>
      <x:c r="F17" s="514" t="str">
        <x:v>ACH-90266</x:v>
      </x:c>
      <x:c r="G17" s="514" t="str">
        <x:v>Yes</x:v>
      </x:c>
      <x:c r="H17" s="514" t="str">
        <x:v>INV-1015</x:v>
      </x:c>
      <x:c r="I17" s="515" t="str">
        <x:v>Exact payment</x:v>
      </x:c>
      <x:c r="J17" s="489" t="n">
        <x:f>IF(A17="","",SUMIF('Application Detail'!$B$7:$B$36,A17,'Application Detail'!$D$7:$D$36))</x:f>
        <x:v>13450</x:v>
      </x:c>
      <x:c r="K17" s="489" t="n">
        <x:f>IF(A17="","",D17-J17)</x:f>
        <x:v>0</x:v>
      </x:c>
      <x:c r="L17" s="516" t="n">
        <x:f>IF(A17="","",IFERROR(J17/D17,0))</x:f>
        <x:v>1</x:v>
      </x:c>
      <x:c r="M17" s="517" t="str">
        <x:f>IF(A17="","",IF(K17&lt;0,"Overapplied",IF(J17=0,"Unapplied",IF(K17=0,"Fully Applied","Partially Applied"))))</x:f>
        <x:v>Fully Applied</x:v>
      </x:c>
      <x:c r="N17" s="518" t="n">
        <x:f>IF(A17="","",IF(K17&gt;0,MAX(0,'Dashboard'!$B$4-B17),0))</x:f>
        <x:v>0</x:v>
      </x:c>
      <x:c r="O17" s="517" t="str">
        <x:f>IF(A17="","",IF(M17="Fully Applied","Complete",IF(OR(G17="No",K17&gt;=5000,N17&gt;7),"High","Medium")))</x:f>
        <x:v>Complete</x:v>
      </x:c>
      <x:c r="P17" s="519" t="str">
        <x:f>IF(A17="","",IF(K17&lt;0,"Payment is overapplied",IF(G17="No","Missing remittance or customer identification",IF(K17&gt;0,"Unapplied balance requires resolution",""))))</x:f>
      </x:c>
    </x:row>
    <x:row r="18" ht="30" customHeight="1">
      <x:c r="A18" s="484" t="str">
        <x:v>PMT-2012</x:v>
      </x:c>
      <x:c r="B18" s="486" t="n">
        <x:v>46201</x:v>
      </x:c>
      <x:c r="C18" s="485" t="str">
        <x:v>Unidentified Customer</x:v>
      </x:c>
      <x:c r="D18" s="487" t="n">
        <x:v>5000</x:v>
      </x:c>
      <x:c r="E18" s="514" t="str">
        <x:v>Wire</x:v>
      </x:c>
      <x:c r="F18" s="514" t="str">
        <x:v>WIRE-77401</x:v>
      </x:c>
      <x:c r="G18" s="514" t="str">
        <x:v>No</x:v>
      </x:c>
      <x:c r="H18" s="514" t="str"/>
      <x:c r="I18" s="515" t="str">
        <x:v>Unidentified deposit requires research</x:v>
      </x:c>
      <x:c r="J18" s="489" t="n">
        <x:f>IF(A18="","",SUMIF('Application Detail'!$B$7:$B$36,A18,'Application Detail'!$D$7:$D$36))</x:f>
        <x:v>0</x:v>
      </x:c>
      <x:c r="K18" s="489" t="n">
        <x:f>IF(A18="","",D18-J18)</x:f>
        <x:v>5000</x:v>
      </x:c>
      <x:c r="L18" s="516" t="n">
        <x:f>IF(A18="","",IFERROR(J18/D18,0))</x:f>
        <x:v>0</x:v>
      </x:c>
      <x:c r="M18" s="517" t="str">
        <x:f>IF(A18="","",IF(K18&lt;0,"Overapplied",IF(J18=0,"Unapplied",IF(K18=0,"Fully Applied","Partially Applied"))))</x:f>
        <x:v>Unapplied</x:v>
      </x:c>
      <x:c r="N18" s="518" t="n">
        <x:f>IF(A18="","",IF(K18&gt;0,MAX(0,'Dashboard'!$B$4-B18),0))</x:f>
        <x:v>2</x:v>
      </x:c>
      <x:c r="O18" s="517" t="str">
        <x:f>IF(A18="","",IF(M18="Fully Applied","Complete",IF(OR(G18="No",K18&gt;=5000,N18&gt;7),"High","Medium")))</x:f>
        <x:v>High</x:v>
      </x:c>
      <x:c r="P18" s="519" t="str">
        <x:f>IF(A18="","",IF(K18&lt;0,"Payment is overapplied",IF(G18="No","Missing remittance or customer identification",IF(K18&gt;0,"Unapplied balance requires resolution",""))))</x:f>
        <x:v>Missing remittance or customer identification</x:v>
      </x:c>
    </x:row>
    <x:row r="19">
      <x:c r="A19" s="484"/>
      <x:c r="B19" s="486"/>
      <x:c r="C19" s="485"/>
      <x:c r="D19" s="487"/>
      <x:c r="E19" s="514"/>
      <x:c r="F19" s="514"/>
      <x:c r="G19" s="514"/>
      <x:c r="H19" s="514"/>
      <x:c r="I19" s="515"/>
      <x:c r="J19" s="489" t="str">
        <x:f>IF(A19="","",SUMIF('Application Detail'!$B$7:$B$36,A19,'Application Detail'!$D$7:$D$36))</x:f>
      </x:c>
      <x:c r="K19" s="489" t="str">
        <x:f>IF(A19="","",D19-J19)</x:f>
      </x:c>
      <x:c r="L19" s="516" t="str">
        <x:f>IF(A19="","",IFERROR(J19/D19,0))</x:f>
      </x:c>
      <x:c r="M19" s="517" t="str">
        <x:f>IF(A19="","",IF(K19&lt;0,"Overapplied",IF(J19=0,"Unapplied",IF(K19=0,"Fully Applied","Partially Applied"))))</x:f>
      </x:c>
      <x:c r="N19" s="518" t="str">
        <x:f>IF(A19="","",IF(K19&gt;0,MAX(0,'Dashboard'!$B$4-B19),0))</x:f>
      </x:c>
      <x:c r="O19" s="517" t="str">
        <x:f>IF(A19="","",IF(M19="Fully Applied","Complete",IF(OR(G19="No",K19&gt;=5000,N19&gt;7),"High","Medium")))</x:f>
      </x:c>
      <x:c r="P19" s="519" t="str">
        <x:f>IF(A19="","",IF(K19&lt;0,"Payment is overapplied",IF(G19="No","Missing remittance or customer identification",IF(K19&gt;0,"Unapplied balance requires resolution",""))))</x:f>
      </x:c>
    </x:row>
    <x:row r="20">
      <x:c r="A20" s="484"/>
      <x:c r="B20" s="486"/>
      <x:c r="C20" s="485"/>
      <x:c r="D20" s="487"/>
      <x:c r="E20" s="514"/>
      <x:c r="F20" s="514"/>
      <x:c r="G20" s="514"/>
      <x:c r="H20" s="514"/>
      <x:c r="I20" s="515"/>
      <x:c r="J20" s="489" t="str">
        <x:f>IF(A20="","",SUMIF('Application Detail'!$B$7:$B$36,A20,'Application Detail'!$D$7:$D$36))</x:f>
      </x:c>
      <x:c r="K20" s="489" t="str">
        <x:f>IF(A20="","",D20-J20)</x:f>
      </x:c>
      <x:c r="L20" s="516" t="str">
        <x:f>IF(A20="","",IFERROR(J20/D20,0))</x:f>
      </x:c>
      <x:c r="M20" s="517" t="str">
        <x:f>IF(A20="","",IF(K20&lt;0,"Overapplied",IF(J20=0,"Unapplied",IF(K20=0,"Fully Applied","Partially Applied"))))</x:f>
      </x:c>
      <x:c r="N20" s="518" t="str">
        <x:f>IF(A20="","",IF(K20&gt;0,MAX(0,'Dashboard'!$B$4-B20),0))</x:f>
      </x:c>
      <x:c r="O20" s="517" t="str">
        <x:f>IF(A20="","",IF(M20="Fully Applied","Complete",IF(OR(G20="No",K20&gt;=5000,N20&gt;7),"High","Medium")))</x:f>
      </x:c>
      <x:c r="P20" s="519" t="str">
        <x:f>IF(A20="","",IF(K20&lt;0,"Payment is overapplied",IF(G20="No","Missing remittance or customer identification",IF(K20&gt;0,"Unapplied balance requires resolution",""))))</x:f>
      </x:c>
    </x:row>
    <x:row r="21">
      <x:c r="A21" s="484"/>
      <x:c r="B21" s="486"/>
      <x:c r="C21" s="485"/>
      <x:c r="D21" s="487"/>
      <x:c r="E21" s="514"/>
      <x:c r="F21" s="514"/>
      <x:c r="G21" s="514"/>
      <x:c r="H21" s="514"/>
      <x:c r="I21" s="515"/>
      <x:c r="J21" s="489" t="str">
        <x:f>IF(A21="","",SUMIF('Application Detail'!$B$7:$B$36,A21,'Application Detail'!$D$7:$D$36))</x:f>
      </x:c>
      <x:c r="K21" s="489" t="str">
        <x:f>IF(A21="","",D21-J21)</x:f>
      </x:c>
      <x:c r="L21" s="516" t="str">
        <x:f>IF(A21="","",IFERROR(J21/D21,0))</x:f>
      </x:c>
      <x:c r="M21" s="517" t="str">
        <x:f>IF(A21="","",IF(K21&lt;0,"Overapplied",IF(J21=0,"Unapplied",IF(K21=0,"Fully Applied","Partially Applied"))))</x:f>
      </x:c>
      <x:c r="N21" s="518" t="str">
        <x:f>IF(A21="","",IF(K21&gt;0,MAX(0,'Dashboard'!$B$4-B21),0))</x:f>
      </x:c>
      <x:c r="O21" s="517" t="str">
        <x:f>IF(A21="","",IF(M21="Fully Applied","Complete",IF(OR(G21="No",K21&gt;=5000,N21&gt;7),"High","Medium")))</x:f>
      </x:c>
      <x:c r="P21" s="519" t="str">
        <x:f>IF(A21="","",IF(K21&lt;0,"Payment is overapplied",IF(G21="No","Missing remittance or customer identification",IF(K21&gt;0,"Unapplied balance requires resolution",""))))</x:f>
      </x:c>
    </x:row>
    <x:row r="22">
      <x:c r="A22" s="484"/>
      <x:c r="B22" s="486"/>
      <x:c r="C22" s="485"/>
      <x:c r="D22" s="487"/>
      <x:c r="E22" s="514"/>
      <x:c r="F22" s="514"/>
      <x:c r="G22" s="514"/>
      <x:c r="H22" s="514"/>
      <x:c r="I22" s="515"/>
      <x:c r="J22" s="489" t="str">
        <x:f>IF(A22="","",SUMIF('Application Detail'!$B$7:$B$36,A22,'Application Detail'!$D$7:$D$36))</x:f>
      </x:c>
      <x:c r="K22" s="489" t="str">
        <x:f>IF(A22="","",D22-J22)</x:f>
      </x:c>
      <x:c r="L22" s="516" t="str">
        <x:f>IF(A22="","",IFERROR(J22/D22,0))</x:f>
      </x:c>
      <x:c r="M22" s="517" t="str">
        <x:f>IF(A22="","",IF(K22&lt;0,"Overapplied",IF(J22=0,"Unapplied",IF(K22=0,"Fully Applied","Partially Applied"))))</x:f>
      </x:c>
      <x:c r="N22" s="518" t="str">
        <x:f>IF(A22="","",IF(K22&gt;0,MAX(0,'Dashboard'!$B$4-B22),0))</x:f>
      </x:c>
      <x:c r="O22" s="517" t="str">
        <x:f>IF(A22="","",IF(M22="Fully Applied","Complete",IF(OR(G22="No",K22&gt;=5000,N22&gt;7),"High","Medium")))</x:f>
      </x:c>
      <x:c r="P22" s="519" t="str">
        <x:f>IF(A22="","",IF(K22&lt;0,"Payment is overapplied",IF(G22="No","Missing remittance or customer identification",IF(K22&gt;0,"Unapplied balance requires resolution",""))))</x:f>
      </x:c>
    </x:row>
    <x:row r="23">
      <x:c r="A23" s="484"/>
      <x:c r="B23" s="486"/>
      <x:c r="C23" s="485"/>
      <x:c r="D23" s="487"/>
      <x:c r="E23" s="514"/>
      <x:c r="F23" s="514"/>
      <x:c r="G23" s="514"/>
      <x:c r="H23" s="514"/>
      <x:c r="I23" s="515"/>
      <x:c r="J23" s="489" t="str">
        <x:f>IF(A23="","",SUMIF('Application Detail'!$B$7:$B$36,A23,'Application Detail'!$D$7:$D$36))</x:f>
      </x:c>
      <x:c r="K23" s="489" t="str">
        <x:f>IF(A23="","",D23-J23)</x:f>
      </x:c>
      <x:c r="L23" s="516" t="str">
        <x:f>IF(A23="","",IFERROR(J23/D23,0))</x:f>
      </x:c>
      <x:c r="M23" s="517" t="str">
        <x:f>IF(A23="","",IF(K23&lt;0,"Overapplied",IF(J23=0,"Unapplied",IF(K23=0,"Fully Applied","Partially Applied"))))</x:f>
      </x:c>
      <x:c r="N23" s="518" t="str">
        <x:f>IF(A23="","",IF(K23&gt;0,MAX(0,'Dashboard'!$B$4-B23),0))</x:f>
      </x:c>
      <x:c r="O23" s="517" t="str">
        <x:f>IF(A23="","",IF(M23="Fully Applied","Complete",IF(OR(G23="No",K23&gt;=5000,N23&gt;7),"High","Medium")))</x:f>
      </x:c>
      <x:c r="P23" s="519" t="str">
        <x:f>IF(A23="","",IF(K23&lt;0,"Payment is overapplied",IF(G23="No","Missing remittance or customer identification",IF(K23&gt;0,"Unapplied balance requires resolution",""))))</x:f>
      </x:c>
    </x:row>
    <x:row r="24">
      <x:c r="A24" s="484"/>
      <x:c r="B24" s="486"/>
      <x:c r="C24" s="485"/>
      <x:c r="D24" s="487"/>
      <x:c r="E24" s="514"/>
      <x:c r="F24" s="514"/>
      <x:c r="G24" s="514"/>
      <x:c r="H24" s="514"/>
      <x:c r="I24" s="515"/>
      <x:c r="J24" s="489" t="str">
        <x:f>IF(A24="","",SUMIF('Application Detail'!$B$7:$B$36,A24,'Application Detail'!$D$7:$D$36))</x:f>
      </x:c>
      <x:c r="K24" s="489" t="str">
        <x:f>IF(A24="","",D24-J24)</x:f>
      </x:c>
      <x:c r="L24" s="516" t="str">
        <x:f>IF(A24="","",IFERROR(J24/D24,0))</x:f>
      </x:c>
      <x:c r="M24" s="517" t="str">
        <x:f>IF(A24="","",IF(K24&lt;0,"Overapplied",IF(J24=0,"Unapplied",IF(K24=0,"Fully Applied","Partially Applied"))))</x:f>
      </x:c>
      <x:c r="N24" s="518" t="str">
        <x:f>IF(A24="","",IF(K24&gt;0,MAX(0,'Dashboard'!$B$4-B24),0))</x:f>
      </x:c>
      <x:c r="O24" s="517" t="str">
        <x:f>IF(A24="","",IF(M24="Fully Applied","Complete",IF(OR(G24="No",K24&gt;=5000,N24&gt;7),"High","Medium")))</x:f>
      </x:c>
      <x:c r="P24" s="519" t="str">
        <x:f>IF(A24="","",IF(K24&lt;0,"Payment is overapplied",IF(G24="No","Missing remittance or customer identification",IF(K24&gt;0,"Unapplied balance requires resolution",""))))</x:f>
      </x:c>
    </x:row>
    <x:row r="25">
      <x:c r="A25" s="484"/>
      <x:c r="B25" s="486"/>
      <x:c r="C25" s="485"/>
      <x:c r="D25" s="487"/>
      <x:c r="E25" s="514"/>
      <x:c r="F25" s="514"/>
      <x:c r="G25" s="514"/>
      <x:c r="H25" s="514"/>
      <x:c r="I25" s="515"/>
      <x:c r="J25" s="489" t="str">
        <x:f>IF(A25="","",SUMIF('Application Detail'!$B$7:$B$36,A25,'Application Detail'!$D$7:$D$36))</x:f>
      </x:c>
      <x:c r="K25" s="489" t="str">
        <x:f>IF(A25="","",D25-J25)</x:f>
      </x:c>
      <x:c r="L25" s="516" t="str">
        <x:f>IF(A25="","",IFERROR(J25/D25,0))</x:f>
      </x:c>
      <x:c r="M25" s="517" t="str">
        <x:f>IF(A25="","",IF(K25&lt;0,"Overapplied",IF(J25=0,"Unapplied",IF(K25=0,"Fully Applied","Partially Applied"))))</x:f>
      </x:c>
      <x:c r="N25" s="518" t="str">
        <x:f>IF(A25="","",IF(K25&gt;0,MAX(0,'Dashboard'!$B$4-B25),0))</x:f>
      </x:c>
      <x:c r="O25" s="517" t="str">
        <x:f>IF(A25="","",IF(M25="Fully Applied","Complete",IF(OR(G25="No",K25&gt;=5000,N25&gt;7),"High","Medium")))</x:f>
      </x:c>
      <x:c r="P25" s="519" t="str">
        <x:f>IF(A25="","",IF(K25&lt;0,"Payment is overapplied",IF(G25="No","Missing remittance or customer identification",IF(K25&gt;0,"Unapplied balance requires resolution",""))))</x:f>
      </x:c>
    </x:row>
    <x:row r="26">
      <x:c r="A26" s="484"/>
      <x:c r="B26" s="486"/>
      <x:c r="C26" s="485"/>
      <x:c r="D26" s="487"/>
      <x:c r="E26" s="514"/>
      <x:c r="F26" s="514"/>
      <x:c r="G26" s="514"/>
      <x:c r="H26" s="514"/>
      <x:c r="I26" s="515"/>
      <x:c r="J26" s="489" t="str">
        <x:f>IF(A26="","",SUMIF('Application Detail'!$B$7:$B$36,A26,'Application Detail'!$D$7:$D$36))</x:f>
      </x:c>
      <x:c r="K26" s="489" t="str">
        <x:f>IF(A26="","",D26-J26)</x:f>
      </x:c>
      <x:c r="L26" s="516" t="str">
        <x:f>IF(A26="","",IFERROR(J26/D26,0))</x:f>
      </x:c>
      <x:c r="M26" s="517" t="str">
        <x:f>IF(A26="","",IF(K26&lt;0,"Overapplied",IF(J26=0,"Unapplied",IF(K26=0,"Fully Applied","Partially Applied"))))</x:f>
      </x:c>
      <x:c r="N26" s="518" t="str">
        <x:f>IF(A26="","",IF(K26&gt;0,MAX(0,'Dashboard'!$B$4-B26),0))</x:f>
      </x:c>
      <x:c r="O26" s="517" t="str">
        <x:f>IF(A26="","",IF(M26="Fully Applied","Complete",IF(OR(G26="No",K26&gt;=5000,N26&gt;7),"High","Medium")))</x:f>
      </x:c>
      <x:c r="P26" s="519" t="str">
        <x:f>IF(A26="","",IF(K26&lt;0,"Payment is overapplied",IF(G26="No","Missing remittance or customer identification",IF(K26&gt;0,"Unapplied balance requires resolution",""))))</x:f>
      </x:c>
    </x:row>
    <x:row r="27">
      <x:c r="A27" s="484"/>
      <x:c r="B27" s="486"/>
      <x:c r="C27" s="485"/>
      <x:c r="D27" s="487"/>
      <x:c r="E27" s="514"/>
      <x:c r="F27" s="514"/>
      <x:c r="G27" s="514"/>
      <x:c r="H27" s="514"/>
      <x:c r="I27" s="515"/>
      <x:c r="J27" s="489" t="str">
        <x:f>IF(A27="","",SUMIF('Application Detail'!$B$7:$B$36,A27,'Application Detail'!$D$7:$D$36))</x:f>
      </x:c>
      <x:c r="K27" s="489" t="str">
        <x:f>IF(A27="","",D27-J27)</x:f>
      </x:c>
      <x:c r="L27" s="516" t="str">
        <x:f>IF(A27="","",IFERROR(J27/D27,0))</x:f>
      </x:c>
      <x:c r="M27" s="517" t="str">
        <x:f>IF(A27="","",IF(K27&lt;0,"Overapplied",IF(J27=0,"Unapplied",IF(K27=0,"Fully Applied","Partially Applied"))))</x:f>
      </x:c>
      <x:c r="N27" s="518" t="str">
        <x:f>IF(A27="","",IF(K27&gt;0,MAX(0,'Dashboard'!$B$4-B27),0))</x:f>
      </x:c>
      <x:c r="O27" s="517" t="str">
        <x:f>IF(A27="","",IF(M27="Fully Applied","Complete",IF(OR(G27="No",K27&gt;=5000,N27&gt;7),"High","Medium")))</x:f>
      </x:c>
      <x:c r="P27" s="519" t="str">
        <x:f>IF(A27="","",IF(K27&lt;0,"Payment is overapplied",IF(G27="No","Missing remittance or customer identification",IF(K27&gt;0,"Unapplied balance requires resolution",""))))</x:f>
      </x:c>
    </x:row>
    <x:row r="28">
      <x:c r="A28" s="484"/>
      <x:c r="B28" s="486"/>
      <x:c r="C28" s="485"/>
      <x:c r="D28" s="487"/>
      <x:c r="E28" s="514"/>
      <x:c r="F28" s="514"/>
      <x:c r="G28" s="514"/>
      <x:c r="H28" s="514"/>
      <x:c r="I28" s="515"/>
      <x:c r="J28" s="489" t="str">
        <x:f>IF(A28="","",SUMIF('Application Detail'!$B$7:$B$36,A28,'Application Detail'!$D$7:$D$36))</x:f>
      </x:c>
      <x:c r="K28" s="489" t="str">
        <x:f>IF(A28="","",D28-J28)</x:f>
      </x:c>
      <x:c r="L28" s="516" t="str">
        <x:f>IF(A28="","",IFERROR(J28/D28,0))</x:f>
      </x:c>
      <x:c r="M28" s="517" t="str">
        <x:f>IF(A28="","",IF(K28&lt;0,"Overapplied",IF(J28=0,"Unapplied",IF(K28=0,"Fully Applied","Partially Applied"))))</x:f>
      </x:c>
      <x:c r="N28" s="518" t="str">
        <x:f>IF(A28="","",IF(K28&gt;0,MAX(0,'Dashboard'!$B$4-B28),0))</x:f>
      </x:c>
      <x:c r="O28" s="517" t="str">
        <x:f>IF(A28="","",IF(M28="Fully Applied","Complete",IF(OR(G28="No",K28&gt;=5000,N28&gt;7),"High","Medium")))</x:f>
      </x:c>
      <x:c r="P28" s="519" t="str">
        <x:f>IF(A28="","",IF(K28&lt;0,"Payment is overapplied",IF(G28="No","Missing remittance or customer identification",IF(K28&gt;0,"Unapplied balance requires resolution",""))))</x:f>
      </x:c>
    </x:row>
    <x:row r="29">
      <x:c r="A29" s="484"/>
      <x:c r="B29" s="486"/>
      <x:c r="C29" s="485"/>
      <x:c r="D29" s="487"/>
      <x:c r="E29" s="514"/>
      <x:c r="F29" s="514"/>
      <x:c r="G29" s="514"/>
      <x:c r="H29" s="514"/>
      <x:c r="I29" s="515"/>
      <x:c r="J29" s="489" t="str">
        <x:f>IF(A29="","",SUMIF('Application Detail'!$B$7:$B$36,A29,'Application Detail'!$D$7:$D$36))</x:f>
      </x:c>
      <x:c r="K29" s="489" t="str">
        <x:f>IF(A29="","",D29-J29)</x:f>
      </x:c>
      <x:c r="L29" s="516" t="str">
        <x:f>IF(A29="","",IFERROR(J29/D29,0))</x:f>
      </x:c>
      <x:c r="M29" s="517" t="str">
        <x:f>IF(A29="","",IF(K29&lt;0,"Overapplied",IF(J29=0,"Unapplied",IF(K29=0,"Fully Applied","Partially Applied"))))</x:f>
      </x:c>
      <x:c r="N29" s="518" t="str">
        <x:f>IF(A29="","",IF(K29&gt;0,MAX(0,'Dashboard'!$B$4-B29),0))</x:f>
      </x:c>
      <x:c r="O29" s="517" t="str">
        <x:f>IF(A29="","",IF(M29="Fully Applied","Complete",IF(OR(G29="No",K29&gt;=5000,N29&gt;7),"High","Medium")))</x:f>
      </x:c>
      <x:c r="P29" s="519" t="str">
        <x:f>IF(A29="","",IF(K29&lt;0,"Payment is overapplied",IF(G29="No","Missing remittance or customer identification",IF(K29&gt;0,"Unapplied balance requires resolution",""))))</x:f>
      </x:c>
    </x:row>
    <x:row r="30">
      <x:c r="A30" s="484"/>
      <x:c r="B30" s="486"/>
      <x:c r="C30" s="485"/>
      <x:c r="D30" s="487"/>
      <x:c r="E30" s="514"/>
      <x:c r="F30" s="514"/>
      <x:c r="G30" s="514"/>
      <x:c r="H30" s="514"/>
      <x:c r="I30" s="515"/>
      <x:c r="J30" s="489" t="str">
        <x:f>IF(A30="","",SUMIF('Application Detail'!$B$7:$B$36,A30,'Application Detail'!$D$7:$D$36))</x:f>
      </x:c>
      <x:c r="K30" s="489" t="str">
        <x:f>IF(A30="","",D30-J30)</x:f>
      </x:c>
      <x:c r="L30" s="516" t="str">
        <x:f>IF(A30="","",IFERROR(J30/D30,0))</x:f>
      </x:c>
      <x:c r="M30" s="517" t="str">
        <x:f>IF(A30="","",IF(K30&lt;0,"Overapplied",IF(J30=0,"Unapplied",IF(K30=0,"Fully Applied","Partially Applied"))))</x:f>
      </x:c>
      <x:c r="N30" s="518" t="str">
        <x:f>IF(A30="","",IF(K30&gt;0,MAX(0,'Dashboard'!$B$4-B30),0))</x:f>
      </x:c>
      <x:c r="O30" s="517" t="str">
        <x:f>IF(A30="","",IF(M30="Fully Applied","Complete",IF(OR(G30="No",K30&gt;=5000,N30&gt;7),"High","Medium")))</x:f>
      </x:c>
      <x:c r="P30" s="519" t="str">
        <x:f>IF(A30="","",IF(K30&lt;0,"Payment is overapplied",IF(G30="No","Missing remittance or customer identification",IF(K30&gt;0,"Unapplied balance requires resolution",""))))</x:f>
      </x:c>
    </x:row>
    <x:row r="31">
      <x:c r="A31" s="484"/>
      <x:c r="B31" s="486"/>
      <x:c r="C31" s="485"/>
      <x:c r="D31" s="487"/>
      <x:c r="E31" s="514"/>
      <x:c r="F31" s="514"/>
      <x:c r="G31" s="514"/>
      <x:c r="H31" s="514"/>
      <x:c r="I31" s="515"/>
      <x:c r="J31" s="489" t="str">
        <x:f>IF(A31="","",SUMIF('Application Detail'!$B$7:$B$36,A31,'Application Detail'!$D$7:$D$36))</x:f>
      </x:c>
      <x:c r="K31" s="489" t="str">
        <x:f>IF(A31="","",D31-J31)</x:f>
      </x:c>
      <x:c r="L31" s="516" t="str">
        <x:f>IF(A31="","",IFERROR(J31/D31,0))</x:f>
      </x:c>
      <x:c r="M31" s="517" t="str">
        <x:f>IF(A31="","",IF(K31&lt;0,"Overapplied",IF(J31=0,"Unapplied",IF(K31=0,"Fully Applied","Partially Applied"))))</x:f>
      </x:c>
      <x:c r="N31" s="518" t="str">
        <x:f>IF(A31="","",IF(K31&gt;0,MAX(0,'Dashboard'!$B$4-B31),0))</x:f>
      </x:c>
      <x:c r="O31" s="517" t="str">
        <x:f>IF(A31="","",IF(M31="Fully Applied","Complete",IF(OR(G31="No",K31&gt;=5000,N31&gt;7),"High","Medium")))</x:f>
      </x:c>
      <x:c r="P31" s="519" t="str">
        <x:f>IF(A31="","",IF(K31&lt;0,"Payment is overapplied",IF(G31="No","Missing remittance or customer identification",IF(K31&gt;0,"Unapplied balance requires resolution",""))))</x:f>
      </x:c>
    </x:row>
    <x:row r="32">
      <x:c r="A32" s="484"/>
      <x:c r="B32" s="486"/>
      <x:c r="C32" s="485"/>
      <x:c r="D32" s="487"/>
      <x:c r="E32" s="514"/>
      <x:c r="F32" s="514"/>
      <x:c r="G32" s="514"/>
      <x:c r="H32" s="514"/>
      <x:c r="I32" s="515"/>
      <x:c r="J32" s="489" t="str">
        <x:f>IF(A32="","",SUMIF('Application Detail'!$B$7:$B$36,A32,'Application Detail'!$D$7:$D$36))</x:f>
      </x:c>
      <x:c r="K32" s="489" t="str">
        <x:f>IF(A32="","",D32-J32)</x:f>
      </x:c>
      <x:c r="L32" s="516" t="str">
        <x:f>IF(A32="","",IFERROR(J32/D32,0))</x:f>
      </x:c>
      <x:c r="M32" s="517" t="str">
        <x:f>IF(A32="","",IF(K32&lt;0,"Overapplied",IF(J32=0,"Unapplied",IF(K32=0,"Fully Applied","Partially Applied"))))</x:f>
      </x:c>
      <x:c r="N32" s="518" t="str">
        <x:f>IF(A32="","",IF(K32&gt;0,MAX(0,'Dashboard'!$B$4-B32),0))</x:f>
      </x:c>
      <x:c r="O32" s="517" t="str">
        <x:f>IF(A32="","",IF(M32="Fully Applied","Complete",IF(OR(G32="No",K32&gt;=5000,N32&gt;7),"High","Medium")))</x:f>
      </x:c>
      <x:c r="P32" s="519" t="str">
        <x:f>IF(A32="","",IF(K32&lt;0,"Payment is overapplied",IF(G32="No","Missing remittance or customer identification",IF(K32&gt;0,"Unapplied balance requires resolution",""))))</x:f>
      </x:c>
    </x:row>
    <x:row r="33">
      <x:c r="A33" s="484"/>
      <x:c r="B33" s="486"/>
      <x:c r="C33" s="485"/>
      <x:c r="D33" s="487"/>
      <x:c r="E33" s="514"/>
      <x:c r="F33" s="514"/>
      <x:c r="G33" s="514"/>
      <x:c r="H33" s="514"/>
      <x:c r="I33" s="515"/>
      <x:c r="J33" s="489" t="str">
        <x:f>IF(A33="","",SUMIF('Application Detail'!$B$7:$B$36,A33,'Application Detail'!$D$7:$D$36))</x:f>
      </x:c>
      <x:c r="K33" s="489" t="str">
        <x:f>IF(A33="","",D33-J33)</x:f>
      </x:c>
      <x:c r="L33" s="516" t="str">
        <x:f>IF(A33="","",IFERROR(J33/D33,0))</x:f>
      </x:c>
      <x:c r="M33" s="517" t="str">
        <x:f>IF(A33="","",IF(K33&lt;0,"Overapplied",IF(J33=0,"Unapplied",IF(K33=0,"Fully Applied","Partially Applied"))))</x:f>
      </x:c>
      <x:c r="N33" s="518" t="str">
        <x:f>IF(A33="","",IF(K33&gt;0,MAX(0,'Dashboard'!$B$4-B33),0))</x:f>
      </x:c>
      <x:c r="O33" s="517" t="str">
        <x:f>IF(A33="","",IF(M33="Fully Applied","Complete",IF(OR(G33="No",K33&gt;=5000,N33&gt;7),"High","Medium")))</x:f>
      </x:c>
      <x:c r="P33" s="519" t="str">
        <x:f>IF(A33="","",IF(K33&lt;0,"Payment is overapplied",IF(G33="No","Missing remittance or customer identification",IF(K33&gt;0,"Unapplied balance requires resolution",""))))</x:f>
      </x:c>
    </x:row>
    <x:row r="34">
      <x:c r="A34" s="484"/>
      <x:c r="B34" s="486"/>
      <x:c r="C34" s="485"/>
      <x:c r="D34" s="487"/>
      <x:c r="E34" s="514"/>
      <x:c r="F34" s="514"/>
      <x:c r="G34" s="514"/>
      <x:c r="H34" s="514"/>
      <x:c r="I34" s="515"/>
      <x:c r="J34" s="489" t="str">
        <x:f>IF(A34="","",SUMIF('Application Detail'!$B$7:$B$36,A34,'Application Detail'!$D$7:$D$36))</x:f>
      </x:c>
      <x:c r="K34" s="489" t="str">
        <x:f>IF(A34="","",D34-J34)</x:f>
      </x:c>
      <x:c r="L34" s="516" t="str">
        <x:f>IF(A34="","",IFERROR(J34/D34,0))</x:f>
      </x:c>
      <x:c r="M34" s="517" t="str">
        <x:f>IF(A34="","",IF(K34&lt;0,"Overapplied",IF(J34=0,"Unapplied",IF(K34=0,"Fully Applied","Partially Applied"))))</x:f>
      </x:c>
      <x:c r="N34" s="518" t="str">
        <x:f>IF(A34="","",IF(K34&gt;0,MAX(0,'Dashboard'!$B$4-B34),0))</x:f>
      </x:c>
      <x:c r="O34" s="517" t="str">
        <x:f>IF(A34="","",IF(M34="Fully Applied","Complete",IF(OR(G34="No",K34&gt;=5000,N34&gt;7),"High","Medium")))</x:f>
      </x:c>
      <x:c r="P34" s="519" t="str">
        <x:f>IF(A34="","",IF(K34&lt;0,"Payment is overapplied",IF(G34="No","Missing remittance or customer identification",IF(K34&gt;0,"Unapplied balance requires resolution",""))))</x:f>
      </x:c>
    </x:row>
    <x:row r="35">
      <x:c r="A35" s="484"/>
      <x:c r="B35" s="486"/>
      <x:c r="C35" s="485"/>
      <x:c r="D35" s="487"/>
      <x:c r="E35" s="514"/>
      <x:c r="F35" s="514"/>
      <x:c r="G35" s="514"/>
      <x:c r="H35" s="514"/>
      <x:c r="I35" s="515"/>
      <x:c r="J35" s="489" t="str">
        <x:f>IF(A35="","",SUMIF('Application Detail'!$B$7:$B$36,A35,'Application Detail'!$D$7:$D$36))</x:f>
      </x:c>
      <x:c r="K35" s="489" t="str">
        <x:f>IF(A35="","",D35-J35)</x:f>
      </x:c>
      <x:c r="L35" s="516" t="str">
        <x:f>IF(A35="","",IFERROR(J35/D35,0))</x:f>
      </x:c>
      <x:c r="M35" s="517" t="str">
        <x:f>IF(A35="","",IF(K35&lt;0,"Overapplied",IF(J35=0,"Unapplied",IF(K35=0,"Fully Applied","Partially Applied"))))</x:f>
      </x:c>
      <x:c r="N35" s="518" t="str">
        <x:f>IF(A35="","",IF(K35&gt;0,MAX(0,'Dashboard'!$B$4-B35),0))</x:f>
      </x:c>
      <x:c r="O35" s="517" t="str">
        <x:f>IF(A35="","",IF(M35="Fully Applied","Complete",IF(OR(G35="No",K35&gt;=5000,N35&gt;7),"High","Medium")))</x:f>
      </x:c>
      <x:c r="P35" s="519" t="str">
        <x:f>IF(A35="","",IF(K35&lt;0,"Payment is overapplied",IF(G35="No","Missing remittance or customer identification",IF(K35&gt;0,"Unapplied balance requires resolution",""))))</x:f>
      </x:c>
    </x:row>
    <x:row r="36">
      <x:c r="A36" s="493"/>
      <x:c r="B36" s="495"/>
      <x:c r="C36" s="494"/>
      <x:c r="D36" s="496"/>
      <x:c r="E36" s="520"/>
      <x:c r="F36" s="520"/>
      <x:c r="G36" s="520"/>
      <x:c r="H36" s="520"/>
      <x:c r="I36" s="521"/>
      <x:c r="J36" s="498" t="str">
        <x:f>IF(A36="","",SUMIF('Application Detail'!$B$7:$B$36,A36,'Application Detail'!$D$7:$D$36))</x:f>
      </x:c>
      <x:c r="K36" s="498" t="str">
        <x:f>IF(A36="","",D36-J36)</x:f>
      </x:c>
      <x:c r="L36" s="522" t="str">
        <x:f>IF(A36="","",IFERROR(J36/D36,0))</x:f>
      </x:c>
      <x:c r="M36" s="523" t="str">
        <x:f>IF(A36="","",IF(K36&lt;0,"Overapplied",IF(J36=0,"Unapplied",IF(K36=0,"Fully Applied","Partially Applied"))))</x:f>
      </x:c>
      <x:c r="N36" s="524" t="str">
        <x:f>IF(A36="","",IF(K36&gt;0,MAX(0,'Dashboard'!$B$4-B36),0))</x:f>
      </x:c>
      <x:c r="O36" s="523" t="str">
        <x:f>IF(A36="","",IF(M36="Fully Applied","Complete",IF(OR(G36="No",K36&gt;=5000,N36&gt;7),"High","Medium")))</x:f>
      </x:c>
      <x:c r="P36" s="525" t="str">
        <x:f>IF(A36="","",IF(K36&lt;0,"Payment is overapplied",IF(G36="No","Missing remittance or customer identification",IF(K36&gt;0,"Unapplied balance requires resolution",""))))</x:f>
      </x:c>
    </x:row>
  </x:sheetData>
  <x:mergeCells>
    <x:mergeCell ref="A1:P2"/>
    <x:mergeCell ref="A3:P3"/>
    <x:mergeCell ref="A4:P4"/>
  </x:mergeCells>
  <x:conditionalFormatting sqref="K7:K36">
    <x:cfRule type="cellIs" dxfId="3" priority="1" operator="greaterThan">
      <x:formula>0</x:formula>
    </x:cfRule>
  </x:conditionalFormatting>
  <x:conditionalFormatting sqref="M7:M36">
    <x:cfRule type="containsText" dxfId="4" priority="2" operator="containsText" text="Fully Applied"/>
    <x:cfRule type="containsText" dxfId="5" priority="3" operator="containsText" text="Partially Applied"/>
    <x:cfRule type="containsText" dxfId="6" priority="4" operator="containsText" text="Unapplied"/>
  </x:conditionalFormatting>
  <x:conditionalFormatting sqref="O7:O36">
    <x:cfRule type="containsText" dxfId="7" priority="5" operator="containsText" text="High"/>
  </x:conditionalFormatting>
  <x:conditionalFormatting sqref="P7:P36">
    <x:cfRule type="expression" dxfId="8" priority="6">
      <x:formula>$P7&lt;&gt;""</x:formula>
    </x:cfRule>
  </x:conditionalFormatting>
  <x:dataValidations count="2">
    <x:dataValidation type="list" sqref="E7:E36">
      <x:formula1>"ACH,Check,Wire,Credit Card"</x:formula1>
    </x:dataValidation>
    <x:dataValidation type="list" sqref="G7:G3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1f5ccdb6814c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6" hidden="0" customWidth="1"/>
    <x:col min="5" max="5" width="15" hidden="0" customWidth="1"/>
    <x:col min="6" max="6" width="15" hidden="0" customWidth="1"/>
    <x:col min="7" max="7" width="38" hidden="0" customWidth="1"/>
    <x:col min="8" max="8" width="27" hidden="0" customWidth="1"/>
    <x:col min="9" max="9" width="16" hidden="0" customWidth="1"/>
    <x:col min="10" max="10" width="16" hidden="0" customWidth="1"/>
    <x:col min="11" max="11" width="20" hidden="0" customWidth="1"/>
    <x:col min="12" max="12" width="18" hidden="0" customWidth="1"/>
    <x:col min="13" max="13" width="19" hidden="0" customWidth="1"/>
    <x:col min="14" max="14" width="18" hidden="0" customWidth="1"/>
    <x:col min="15" max="15" width="16" hidden="0" customWidth="1"/>
  </x:cols>
  <x:sheetData>
    <x:row r="1">
      <x:c r="A1" s="4" t="str">
        <x:v>Application Detail</x:v>
      </x:c>
      <x:c r="B1" s="4" t="str">
        <x:v>Application Detail</x:v>
      </x:c>
      <x:c r="C1" s="4" t="str">
        <x:v>Application Detail</x:v>
      </x:c>
      <x:c r="D1" s="4" t="str">
        <x:v>Application Detail</x:v>
      </x:c>
      <x:c r="E1" s="4" t="str">
        <x:v>Application Detail</x:v>
      </x:c>
      <x:c r="F1" s="4" t="str">
        <x:v>Application Detail</x:v>
      </x:c>
      <x:c r="G1" s="4" t="str">
        <x:v>Application Detail</x:v>
      </x:c>
      <x:c r="H1" s="4" t="str">
        <x:v>Application Detail</x:v>
      </x:c>
      <x:c r="I1" s="4" t="str">
        <x:v>Application Detail</x:v>
      </x:c>
      <x:c r="J1" s="4" t="str">
        <x:v>Application Detail</x:v>
      </x:c>
      <x:c r="K1" s="4" t="str">
        <x:v>Application Detail</x:v>
      </x:c>
      <x:c r="L1" s="4" t="str">
        <x:v>Application Detail</x:v>
      </x:c>
      <x:c r="M1" s="4" t="str">
        <x:v>Application Detail</x:v>
      </x:c>
      <x:c r="N1" s="4" t="str">
        <x:v>Application Detail</x:v>
      </x:c>
      <x:c r="O1" s="4" t="str">
        <x:v>Application Detail</x:v>
      </x:c>
    </x:row>
    <x:row r="2">
      <x:c r="A2" s="4" t="str">
        <x:v>Application Detail</x:v>
      </x:c>
      <x:c r="B2" s="4" t="str">
        <x:v>Application Detail</x:v>
      </x:c>
      <x:c r="C2" s="4" t="str">
        <x:v>Application Detail</x:v>
      </x:c>
      <x:c r="D2" s="4" t="str">
        <x:v>Application Detail</x:v>
      </x:c>
      <x:c r="E2" s="4" t="str">
        <x:v>Application Detail</x:v>
      </x:c>
      <x:c r="F2" s="4" t="str">
        <x:v>Application Detail</x:v>
      </x:c>
      <x:c r="G2" s="4" t="str">
        <x:v>Application Detail</x:v>
      </x:c>
      <x:c r="H2" s="4" t="str">
        <x:v>Application Detail</x:v>
      </x:c>
      <x:c r="I2" s="4" t="str">
        <x:v>Application Detail</x:v>
      </x:c>
      <x:c r="J2" s="4" t="str">
        <x:v>Application Detail</x:v>
      </x:c>
      <x:c r="K2" s="4" t="str">
        <x:v>Application Detail</x:v>
      </x:c>
      <x:c r="L2" s="4" t="str">
        <x:v>Application Detail</x:v>
      </x:c>
      <x:c r="M2" s="4" t="str">
        <x:v>Application Detail</x:v>
      </x:c>
      <x:c r="N2" s="4" t="str">
        <x:v>Application Detail</x:v>
      </x:c>
      <x:c r="O2" s="4" t="str">
        <x:v>Application Detail</x:v>
      </x:c>
    </x:row>
    <x:row r="3">
      <x:c r="A3" s="8" t="str">
        <x:v>Payment-to-invoice allocations with reference lookups, payment controls, and invoice controls</x:v>
      </x:c>
      <x:c r="B3" s="8" t="str">
        <x:v>Payment-to-invoice allocations with reference lookups, payment controls, and invoice controls</x:v>
      </x:c>
      <x:c r="C3" s="8" t="str">
        <x:v>Payment-to-invoice allocations with reference lookups, payment controls, and invoice controls</x:v>
      </x:c>
      <x:c r="D3" s="8" t="str">
        <x:v>Payment-to-invoice allocations with reference lookups, payment controls, and invoice controls</x:v>
      </x:c>
      <x:c r="E3" s="8" t="str">
        <x:v>Payment-to-invoice allocations with reference lookups, payment controls, and invoice controls</x:v>
      </x:c>
      <x:c r="F3" s="8" t="str">
        <x:v>Payment-to-invoice allocations with reference lookups, payment controls, and invoice controls</x:v>
      </x:c>
      <x:c r="G3" s="8" t="str">
        <x:v>Payment-to-invoice allocations with reference lookups, payment controls, and invoice controls</x:v>
      </x:c>
      <x:c r="H3" s="8" t="str">
        <x:v>Payment-to-invoice allocations with reference lookups, payment controls, and invoice controls</x:v>
      </x:c>
      <x:c r="I3" s="8" t="str">
        <x:v>Payment-to-invoice allocations with reference lookups, payment controls, and invoice controls</x:v>
      </x:c>
      <x:c r="J3" s="8" t="str">
        <x:v>Payment-to-invoice allocations with reference lookups, payment controls, and invoice controls</x:v>
      </x:c>
      <x:c r="K3" s="8" t="str">
        <x:v>Payment-to-invoice allocations with reference lookups, payment controls, and invoice controls</x:v>
      </x:c>
      <x:c r="L3" s="8" t="str">
        <x:v>Payment-to-invoice allocations with reference lookups, payment controls, and invoice controls</x:v>
      </x:c>
      <x:c r="M3" s="8" t="str">
        <x:v>Payment-to-invoice allocations with reference lookups, payment controls, and invoice controls</x:v>
      </x:c>
      <x:c r="N3" s="8" t="str">
        <x:v>Payment-to-invoice allocations with reference lookups, payment controls, and invoice controls</x:v>
      </x:c>
      <x:c r="O3" s="8" t="str">
        <x:v>Payment-to-invoice allocations with reference lookups, payment controls, and invoice controls</x:v>
      </x:c>
    </x:row>
    <x:row r="4">
      <x:c r="A4" s="460" t="str">
        <x:v>Input columns A:G. Enter one row per payment-to-invoice allocation; formulas validate payment and invoice totals.</x:v>
      </x:c>
      <x:c r="B4" s="460" t="str">
        <x:v>Input columns A:G. Enter one row per payment-to-invoice allocation; formulas validate payment and invoice totals.</x:v>
      </x:c>
      <x:c r="C4" s="460" t="str">
        <x:v>Input columns A:G. Enter one row per payment-to-invoice allocation; formulas validate payment and invoice totals.</x:v>
      </x:c>
      <x:c r="D4" s="460" t="str">
        <x:v>Input columns A:G. Enter one row per payment-to-invoice allocation; formulas validate payment and invoice totals.</x:v>
      </x:c>
      <x:c r="E4" s="460" t="str">
        <x:v>Input columns A:G. Enter one row per payment-to-invoice allocation; formulas validate payment and invoice totals.</x:v>
      </x:c>
      <x:c r="F4" s="460" t="str">
        <x:v>Input columns A:G. Enter one row per payment-to-invoice allocation; formulas validate payment and invoice totals.</x:v>
      </x:c>
      <x:c r="G4" s="460" t="str">
        <x:v>Input columns A:G. Enter one row per payment-to-invoice allocation; formulas validate payment and invoice totals.</x:v>
      </x:c>
      <x:c r="H4" s="460" t="str">
        <x:v>Input columns A:G. Enter one row per payment-to-invoice allocation; formulas validate payment and invoice totals.</x:v>
      </x:c>
      <x:c r="I4" s="460" t="str">
        <x:v>Input columns A:G. Enter one row per payment-to-invoice allocation; formulas validate payment and invoice totals.</x:v>
      </x:c>
      <x:c r="J4" s="460" t="str">
        <x:v>Input columns A:G. Enter one row per payment-to-invoice allocation; formulas validate payment and invoice totals.</x:v>
      </x:c>
      <x:c r="K4" s="460" t="str">
        <x:v>Input columns A:G. Enter one row per payment-to-invoice allocation; formulas validate payment and invoice totals.</x:v>
      </x:c>
      <x:c r="L4" s="460" t="str">
        <x:v>Input columns A:G. Enter one row per payment-to-invoice allocation; formulas validate payment and invoice totals.</x:v>
      </x:c>
      <x:c r="M4" s="460" t="str">
        <x:v>Input columns A:G. Enter one row per payment-to-invoice allocation; formulas validate payment and invoice totals.</x:v>
      </x:c>
      <x:c r="N4" s="460" t="str">
        <x:v>Input columns A:G. Enter one row per payment-to-invoice allocation; formulas validate payment and invoice totals.</x:v>
      </x:c>
      <x:c r="O4" s="460" t="str">
        <x:v>Input columns A:G. Enter one row per payment-to-invoice allocation; formulas validate payment and invoice totals.</x:v>
      </x:c>
    </x:row>
    <x:row r="6">
      <x:c r="A6" s="464" t="str">
        <x:v>Application ID</x:v>
      </x:c>
      <x:c r="B6" s="464" t="str">
        <x:v>Payment ID</x:v>
      </x:c>
      <x:c r="C6" s="464" t="str">
        <x:v>Invoice #</x:v>
      </x:c>
      <x:c r="D6" s="464" t="str">
        <x:v>Amount Applied</x:v>
      </x:c>
      <x:c r="E6" s="464" t="str">
        <x:v>Application Date</x:v>
      </x:c>
      <x:c r="F6" s="464" t="str">
        <x:v>Match Type</x:v>
      </x:c>
      <x:c r="G6" s="464" t="str">
        <x:v>Analyst Notes</x:v>
      </x:c>
      <x:c r="H6" s="464" t="str">
        <x:v>Customer</x:v>
      </x:c>
      <x:c r="I6" s="464" t="str">
        <x:v>Receipt Amount</x:v>
      </x:c>
      <x:c r="J6" s="464" t="str">
        <x:v>Invoice Amount</x:v>
      </x:c>
      <x:c r="K6" s="464" t="str">
        <x:v>Payment Applied Total</x:v>
      </x:c>
      <x:c r="L6" s="464" t="str">
        <x:v>Payment Unapplied</x:v>
      </x:c>
      <x:c r="M6" s="464" t="str">
        <x:v>Invoice Applied Total</x:v>
      </x:c>
      <x:c r="N6" s="464" t="str">
        <x:v>Invoice Remaining</x:v>
      </x:c>
      <x:c r="O6" s="464" t="str">
        <x:v>Control Flag</x:v>
      </x:c>
    </x:row>
    <x:row r="7" ht="34" customHeight="1">
      <x:c r="A7" s="475" t="str">
        <x:v>APP-3001</x:v>
      </x:c>
      <x:c r="B7" s="508" t="str">
        <x:v>PMT-2001</x:v>
      </x:c>
      <x:c r="C7" s="508" t="str">
        <x:v>INV-1001</x:v>
      </x:c>
      <x:c r="D7" s="478" t="n">
        <x:v>18250</x:v>
      </x:c>
      <x:c r="E7" s="477" t="n">
        <x:v>46175</x:v>
      </x:c>
      <x:c r="F7" s="508" t="str">
        <x:v>Exact</x:v>
      </x:c>
      <x:c r="G7" s="509" t="str">
        <x:v>Invoice and amount match remittance</x:v>
      </x:c>
      <x:c r="H7" s="526" t="str">
        <x:f>IF(B7="","",IFERROR(XLOOKUP(B7,'Cash Receipts'!$A$7:$A$36,'Cash Receipts'!$C$7:$C$36),"Invalid payment"))</x:f>
        <x:v>Acadia Health Partners</x:v>
      </x:c>
      <x:c r="I7" s="480" t="n">
        <x:f>IF(B7="","",IFERROR(XLOOKUP(B7,'Cash Receipts'!$A$7:$A$36,'Cash Receipts'!$D$7:$D$36),"Invalid payment"))</x:f>
        <x:v>18250</x:v>
      </x:c>
      <x:c r="J7" s="480" t="n">
        <x:f>IF(C7="","",IFERROR(XLOOKUP(C7,'Invoice Register'!$A$7:$A$36,'Invoice Register'!$E$7:$E$36),"Invalid invoice"))</x:f>
        <x:v>18250</x:v>
      </x:c>
      <x:c r="K7" s="480" t="n">
        <x:f>IF(B7="","",SUMIF($B$7:$B$36,B7,$D$7:$D$36))</x:f>
        <x:v>18250</x:v>
      </x:c>
      <x:c r="L7" s="480" t="n">
        <x:f>IF(B7="","",IF(ISNUMBER(I7),I7-K7,""))</x:f>
        <x:v>0</x:v>
      </x:c>
      <x:c r="M7" s="480" t="n">
        <x:f>IF(C7="","",SUMIF($C$7:$C$36,C7,$D$7:$D$36))</x:f>
        <x:v>18250</x:v>
      </x:c>
      <x:c r="N7" s="480" t="n">
        <x:f>IF(C7="","",IF(ISNUMBER(J7),J7-M7,""))</x:f>
        <x:v>0</x:v>
      </x:c>
      <x:c r="O7" s="527" t="str">
        <x:f>IF(A7="","",IF(OR(H7="Invalid payment",I7="Invalid payment",J7="Invalid invoice"),"Invalid reference",IF(OR(L7&lt;0,N7&lt;0),"Overapplied","PASS")))</x:f>
        <x:v>PASS</x:v>
      </x:c>
    </x:row>
    <x:row r="8" ht="34" customHeight="1">
      <x:c r="A8" s="484" t="str">
        <x:v>APP-3002</x:v>
      </x:c>
      <x:c r="B8" s="514" t="str">
        <x:v>PMT-2002</x:v>
      </x:c>
      <x:c r="C8" s="514" t="str">
        <x:v>INV-1003</x:v>
      </x:c>
      <x:c r="D8" s="487" t="n">
        <x:v>31750</x:v>
      </x:c>
      <x:c r="E8" s="486" t="n">
        <x:v>46178</x:v>
      </x:c>
      <x:c r="F8" s="514" t="str">
        <x:v>Exact</x:v>
      </x:c>
      <x:c r="G8" s="515" t="str">
        <x:v>Invoice and amount match remittance</x:v>
      </x:c>
      <x:c r="H8" s="528" t="str">
        <x:f>IF(B8="","",IFERROR(XLOOKUP(B8,'Cash Receipts'!$A$7:$A$36,'Cash Receipts'!$C$7:$C$36),"Invalid payment"))</x:f>
        <x:v>Bayou Industrial Supply</x:v>
      </x:c>
      <x:c r="I8" s="489" t="n">
        <x:f>IF(B8="","",IFERROR(XLOOKUP(B8,'Cash Receipts'!$A$7:$A$36,'Cash Receipts'!$D$7:$D$36),"Invalid payment"))</x:f>
        <x:v>31750</x:v>
      </x:c>
      <x:c r="J8" s="489" t="n">
        <x:f>IF(C8="","",IFERROR(XLOOKUP(C8,'Invoice Register'!$A$7:$A$36,'Invoice Register'!$E$7:$E$36),"Invalid invoice"))</x:f>
        <x:v>31750</x:v>
      </x:c>
      <x:c r="K8" s="489" t="n">
        <x:f>IF(B8="","",SUMIF($B$7:$B$36,B8,$D$7:$D$36))</x:f>
        <x:v>31750</x:v>
      </x:c>
      <x:c r="L8" s="489" t="n">
        <x:f>IF(B8="","",IF(ISNUMBER(I8),I8-K8,""))</x:f>
        <x:v>0</x:v>
      </x:c>
      <x:c r="M8" s="489" t="n">
        <x:f>IF(C8="","",SUMIF($C$7:$C$36,C8,$D$7:$D$36))</x:f>
        <x:v>31750</x:v>
      </x:c>
      <x:c r="N8" s="489" t="n">
        <x:f>IF(C8="","",IF(ISNUMBER(J8),J8-M8,""))</x:f>
        <x:v>0</x:v>
      </x:c>
      <x:c r="O8" s="529" t="str">
        <x:f>IF(A8="","",IF(OR(H8="Invalid payment",I8="Invalid payment",J8="Invalid invoice"),"Invalid reference",IF(OR(L8&lt;0,N8&lt;0),"Overapplied","PASS")))</x:f>
        <x:v>PASS</x:v>
      </x:c>
    </x:row>
    <x:row r="9" ht="34" customHeight="1">
      <x:c r="A9" s="484" t="str">
        <x:v>APP-3003</x:v>
      </x:c>
      <x:c r="B9" s="514" t="str">
        <x:v>PMT-2003</x:v>
      </x:c>
      <x:c r="C9" s="514" t="str">
        <x:v>INV-1004</x:v>
      </x:c>
      <x:c r="D9" s="487" t="n">
        <x:v>9500</x:v>
      </x:c>
      <x:c r="E9" s="486" t="n">
        <x:v>46181</x:v>
      </x:c>
      <x:c r="F9" s="514" t="str">
        <x:v>Short Pay</x:v>
      </x:c>
      <x:c r="G9" s="515" t="str">
        <x:v>Applied receipt with 100 dollar invoice balance remaining</x:v>
      </x:c>
      <x:c r="H9" s="528" t="str">
        <x:f>IF(B9="","",IFERROR(XLOOKUP(B9,'Cash Receipts'!$A$7:$A$36,'Cash Receipts'!$C$7:$C$36),"Invalid payment"))</x:f>
        <x:v>Crescent Retail Group</x:v>
      </x:c>
      <x:c r="I9" s="489" t="n">
        <x:f>IF(B9="","",IFERROR(XLOOKUP(B9,'Cash Receipts'!$A$7:$A$36,'Cash Receipts'!$D$7:$D$36),"Invalid payment"))</x:f>
        <x:v>9500</x:v>
      </x:c>
      <x:c r="J9" s="489" t="n">
        <x:f>IF(C9="","",IFERROR(XLOOKUP(C9,'Invoice Register'!$A$7:$A$36,'Invoice Register'!$E$7:$E$36),"Invalid invoice"))</x:f>
        <x:v>9600</x:v>
      </x:c>
      <x:c r="K9" s="489" t="n">
        <x:f>IF(B9="","",SUMIF($B$7:$B$36,B9,$D$7:$D$36))</x:f>
        <x:v>9500</x:v>
      </x:c>
      <x:c r="L9" s="489" t="n">
        <x:f>IF(B9="","",IF(ISNUMBER(I9),I9-K9,""))</x:f>
        <x:v>0</x:v>
      </x:c>
      <x:c r="M9" s="489" t="n">
        <x:f>IF(C9="","",SUMIF($C$7:$C$36,C9,$D$7:$D$36))</x:f>
        <x:v>9500</x:v>
      </x:c>
      <x:c r="N9" s="489" t="n">
        <x:f>IF(C9="","",IF(ISNUMBER(J9),J9-M9,""))</x:f>
        <x:v>100</x:v>
      </x:c>
      <x:c r="O9" s="529" t="str">
        <x:f>IF(A9="","",IF(OR(H9="Invalid payment",I9="Invalid payment",J9="Invalid invoice"),"Invalid reference",IF(OR(L9&lt;0,N9&lt;0),"Overapplied","PASS")))</x:f>
        <x:v>PASS</x:v>
      </x:c>
    </x:row>
    <x:row r="10" ht="34" customHeight="1">
      <x:c r="A10" s="484" t="str">
        <x:v>APP-3004</x:v>
      </x:c>
      <x:c r="B10" s="514" t="str">
        <x:v>PMT-2004</x:v>
      </x:c>
      <x:c r="C10" s="514" t="str">
        <x:v>INV-1005</x:v>
      </x:c>
      <x:c r="D10" s="487" t="n">
        <x:v>48120</x:v>
      </x:c>
      <x:c r="E10" s="486" t="n">
        <x:v>46183</x:v>
      </x:c>
      <x:c r="F10" s="514" t="str">
        <x:v>Exact</x:v>
      </x:c>
      <x:c r="G10" s="515" t="str">
        <x:v>Invoice and amount match remittance</x:v>
      </x:c>
      <x:c r="H10" s="528" t="str">
        <x:f>IF(B10="","",IFERROR(XLOOKUP(B10,'Cash Receipts'!$A$7:$A$36,'Cash Receipts'!$C$7:$C$36),"Invalid payment"))</x:f>
        <x:v>Delta Municipal Services</x:v>
      </x:c>
      <x:c r="I10" s="489" t="n">
        <x:f>IF(B10="","",IFERROR(XLOOKUP(B10,'Cash Receipts'!$A$7:$A$36,'Cash Receipts'!$D$7:$D$36),"Invalid payment"))</x:f>
        <x:v>48120</x:v>
      </x:c>
      <x:c r="J10" s="489" t="n">
        <x:f>IF(C10="","",IFERROR(XLOOKUP(C10,'Invoice Register'!$A$7:$A$36,'Invoice Register'!$E$7:$E$36),"Invalid invoice"))</x:f>
        <x:v>48120</x:v>
      </x:c>
      <x:c r="K10" s="489" t="n">
        <x:f>IF(B10="","",SUMIF($B$7:$B$36,B10,$D$7:$D$36))</x:f>
        <x:v>48120</x:v>
      </x:c>
      <x:c r="L10" s="489" t="n">
        <x:f>IF(B10="","",IF(ISNUMBER(I10),I10-K10,""))</x:f>
        <x:v>0</x:v>
      </x:c>
      <x:c r="M10" s="489" t="n">
        <x:f>IF(C10="","",SUMIF($C$7:$C$36,C10,$D$7:$D$36))</x:f>
        <x:v>48120</x:v>
      </x:c>
      <x:c r="N10" s="489" t="n">
        <x:f>IF(C10="","",IF(ISNUMBER(J10),J10-M10,""))</x:f>
        <x:v>0</x:v>
      </x:c>
      <x:c r="O10" s="529" t="str">
        <x:f>IF(A10="","",IF(OR(H10="Invalid payment",I10="Invalid payment",J10="Invalid invoice"),"Invalid reference",IF(OR(L10&lt;0,N10&lt;0),"Overapplied","PASS")))</x:f>
        <x:v>PASS</x:v>
      </x:c>
    </x:row>
    <x:row r="11" ht="34" customHeight="1">
      <x:c r="A11" s="484" t="str">
        <x:v>APP-3005</x:v>
      </x:c>
      <x:c r="B11" s="514" t="str">
        <x:v>PMT-2005</x:v>
      </x:c>
      <x:c r="C11" s="514" t="str">
        <x:v>INV-1006</x:v>
      </x:c>
      <x:c r="D11" s="487" t="n">
        <x:v>10000</x:v>
      </x:c>
      <x:c r="E11" s="486" t="n">
        <x:v>46185</x:v>
      </x:c>
      <x:c r="F11" s="514" t="str">
        <x:v>Partial</x:v>
      </x:c>
      <x:c r="G11" s="515" t="str">
        <x:v>Partial payment applied to open invoice</x:v>
      </x:c>
      <x:c r="H11" s="528" t="str">
        <x:f>IF(B11="","",IFERROR(XLOOKUP(B11,'Cash Receipts'!$A$7:$A$36,'Cash Receipts'!$C$7:$C$36),"Invalid payment"))</x:f>
        <x:v>Evergreen Medical Labs</x:v>
      </x:c>
      <x:c r="I11" s="489" t="n">
        <x:f>IF(B11="","",IFERROR(XLOOKUP(B11,'Cash Receipts'!$A$7:$A$36,'Cash Receipts'!$D$7:$D$36),"Invalid payment"))</x:f>
        <x:v>10000</x:v>
      </x:c>
      <x:c r="J11" s="489" t="n">
        <x:f>IF(C11="","",IFERROR(XLOOKUP(C11,'Invoice Register'!$A$7:$A$36,'Invoice Register'!$E$7:$E$36),"Invalid invoice"))</x:f>
        <x:v>14220</x:v>
      </x:c>
      <x:c r="K11" s="489" t="n">
        <x:f>IF(B11="","",SUMIF($B$7:$B$36,B11,$D$7:$D$36))</x:f>
        <x:v>10000</x:v>
      </x:c>
      <x:c r="L11" s="489" t="n">
        <x:f>IF(B11="","",IF(ISNUMBER(I11),I11-K11,""))</x:f>
        <x:v>0</x:v>
      </x:c>
      <x:c r="M11" s="489" t="n">
        <x:f>IF(C11="","",SUMIF($C$7:$C$36,C11,$D$7:$D$36))</x:f>
        <x:v>10000</x:v>
      </x:c>
      <x:c r="N11" s="489" t="n">
        <x:f>IF(C11="","",IF(ISNUMBER(J11),J11-M11,""))</x:f>
        <x:v>4220</x:v>
      </x:c>
      <x:c r="O11" s="529" t="str">
        <x:f>IF(A11="","",IF(OR(H11="Invalid payment",I11="Invalid payment",J11="Invalid invoice"),"Invalid reference",IF(OR(L11&lt;0,N11&lt;0),"Overapplied","PASS")))</x:f>
        <x:v>PASS</x:v>
      </x:c>
    </x:row>
    <x:row r="12" ht="34" customHeight="1">
      <x:c r="A12" s="484" t="str">
        <x:v>APP-3006</x:v>
      </x:c>
      <x:c r="B12" s="514" t="str">
        <x:v>PMT-2006</x:v>
      </x:c>
      <x:c r="C12" s="514" t="str">
        <x:v>INV-1007</x:v>
      </x:c>
      <x:c r="D12" s="487" t="n">
        <x:v>12500</x:v>
      </x:c>
      <x:c r="E12" s="486" t="n">
        <x:v>46188</x:v>
      </x:c>
      <x:c r="F12" s="514" t="str">
        <x:v>Exact</x:v>
      </x:c>
      <x:c r="G12" s="515" t="str">
        <x:v>Invoice and amount match remittance</x:v>
      </x:c>
      <x:c r="H12" s="528" t="str">
        <x:f>IF(B12="","",IFERROR(XLOOKUP(B12,'Cash Receipts'!$A$7:$A$36,'Cash Receipts'!$C$7:$C$36),"Invalid payment"))</x:f>
        <x:v>Frontier Logistics</x:v>
      </x:c>
      <x:c r="I12" s="489" t="n">
        <x:f>IF(B12="","",IFERROR(XLOOKUP(B12,'Cash Receipts'!$A$7:$A$36,'Cash Receipts'!$D$7:$D$36),"Invalid payment"))</x:f>
        <x:v>12500</x:v>
      </x:c>
      <x:c r="J12" s="489" t="n">
        <x:f>IF(C12="","",IFERROR(XLOOKUP(C12,'Invoice Register'!$A$7:$A$36,'Invoice Register'!$E$7:$E$36),"Invalid invoice"))</x:f>
        <x:v>12500</x:v>
      </x:c>
      <x:c r="K12" s="489" t="n">
        <x:f>IF(B12="","",SUMIF($B$7:$B$36,B12,$D$7:$D$36))</x:f>
        <x:v>12500</x:v>
      </x:c>
      <x:c r="L12" s="489" t="n">
        <x:f>IF(B12="","",IF(ISNUMBER(I12),I12-K12,""))</x:f>
        <x:v>0</x:v>
      </x:c>
      <x:c r="M12" s="489" t="n">
        <x:f>IF(C12="","",SUMIF($C$7:$C$36,C12,$D$7:$D$36))</x:f>
        <x:v>12500</x:v>
      </x:c>
      <x:c r="N12" s="489" t="n">
        <x:f>IF(C12="","",IF(ISNUMBER(J12),J12-M12,""))</x:f>
        <x:v>0</x:v>
      </x:c>
      <x:c r="O12" s="529" t="str">
        <x:f>IF(A12="","",IF(OR(H12="Invalid payment",I12="Invalid payment",J12="Invalid invoice"),"Invalid reference",IF(OR(L12&lt;0,N12&lt;0),"Overapplied","PASS")))</x:f>
        <x:v>PASS</x:v>
      </x:c>
    </x:row>
    <x:row r="13" ht="34" customHeight="1">
      <x:c r="A13" s="484" t="str">
        <x:v>APP-3007</x:v>
      </x:c>
      <x:c r="B13" s="514" t="str">
        <x:v>PMT-2007</x:v>
      </x:c>
      <x:c r="C13" s="514" t="str">
        <x:v>INV-1008</x:v>
      </x:c>
      <x:c r="D13" s="487" t="n">
        <x:v>59200</x:v>
      </x:c>
      <x:c r="E13" s="486" t="n">
        <x:v>46191</x:v>
      </x:c>
      <x:c r="F13" s="514" t="str">
        <x:v>Overpayment</x:v>
      </x:c>
      <x:c r="G13" s="515" t="str">
        <x:v>Applied invoice balance and retained 800 dollars as unapplied cash</x:v>
      </x:c>
      <x:c r="H13" s="528" t="str">
        <x:f>IF(B13="","",IFERROR(XLOOKUP(B13,'Cash Receipts'!$A$7:$A$36,'Cash Receipts'!$C$7:$C$36),"Invalid payment"))</x:f>
        <x:v>Gulf Coast Manufacturing</x:v>
      </x:c>
      <x:c r="I13" s="489" t="n">
        <x:f>IF(B13="","",IFERROR(XLOOKUP(B13,'Cash Receipts'!$A$7:$A$36,'Cash Receipts'!$D$7:$D$36),"Invalid payment"))</x:f>
        <x:v>60000</x:v>
      </x:c>
      <x:c r="J13" s="489" t="n">
        <x:f>IF(C13="","",IFERROR(XLOOKUP(C13,'Invoice Register'!$A$7:$A$36,'Invoice Register'!$E$7:$E$36),"Invalid invoice"))</x:f>
        <x:v>59200</x:v>
      </x:c>
      <x:c r="K13" s="489" t="n">
        <x:f>IF(B13="","",SUMIF($B$7:$B$36,B13,$D$7:$D$36))</x:f>
        <x:v>59200</x:v>
      </x:c>
      <x:c r="L13" s="489" t="n">
        <x:f>IF(B13="","",IF(ISNUMBER(I13),I13-K13,""))</x:f>
        <x:v>800</x:v>
      </x:c>
      <x:c r="M13" s="489" t="n">
        <x:f>IF(C13="","",SUMIF($C$7:$C$36,C13,$D$7:$D$36))</x:f>
        <x:v>59200</x:v>
      </x:c>
      <x:c r="N13" s="489" t="n">
        <x:f>IF(C13="","",IF(ISNUMBER(J13),J13-M13,""))</x:f>
        <x:v>0</x:v>
      </x:c>
      <x:c r="O13" s="529" t="str">
        <x:f>IF(A13="","",IF(OR(H13="Invalid payment",I13="Invalid payment",J13="Invalid invoice"),"Invalid reference",IF(OR(L13&lt;0,N13&lt;0),"Overapplied","PASS")))</x:f>
        <x:v>PASS</x:v>
      </x:c>
    </x:row>
    <x:row r="14" ht="34" customHeight="1">
      <x:c r="A14" s="484" t="str">
        <x:v>APP-3008</x:v>
      </x:c>
      <x:c r="B14" s="514" t="str">
        <x:v>PMT-2008</x:v>
      </x:c>
      <x:c r="C14" s="514" t="str">
        <x:v>INV-1009</x:v>
      </x:c>
      <x:c r="D14" s="487" t="n">
        <x:v>8800</x:v>
      </x:c>
      <x:c r="E14" s="486" t="n">
        <x:v>46193</x:v>
      </x:c>
      <x:c r="F14" s="514" t="str">
        <x:v>Exact</x:v>
      </x:c>
      <x:c r="G14" s="515" t="str">
        <x:v>Invoice and amount match remittance</x:v>
      </x:c>
      <x:c r="H14" s="528" t="str">
        <x:f>IF(B14="","",IFERROR(XLOOKUP(B14,'Cash Receipts'!$A$7:$A$36,'Cash Receipts'!$C$7:$C$36),"Invalid payment"))</x:f>
        <x:v>Harbor Energy Co.</x:v>
      </x:c>
      <x:c r="I14" s="489" t="n">
        <x:f>IF(B14="","",IFERROR(XLOOKUP(B14,'Cash Receipts'!$A$7:$A$36,'Cash Receipts'!$D$7:$D$36),"Invalid payment"))</x:f>
        <x:v>8800</x:v>
      </x:c>
      <x:c r="J14" s="489" t="n">
        <x:f>IF(C14="","",IFERROR(XLOOKUP(C14,'Invoice Register'!$A$7:$A$36,'Invoice Register'!$E$7:$E$36),"Invalid invoice"))</x:f>
        <x:v>8800</x:v>
      </x:c>
      <x:c r="K14" s="489" t="n">
        <x:f>IF(B14="","",SUMIF($B$7:$B$36,B14,$D$7:$D$36))</x:f>
        <x:v>8800</x:v>
      </x:c>
      <x:c r="L14" s="489" t="n">
        <x:f>IF(B14="","",IF(ISNUMBER(I14),I14-K14,""))</x:f>
        <x:v>0</x:v>
      </x:c>
      <x:c r="M14" s="489" t="n">
        <x:f>IF(C14="","",SUMIF($C$7:$C$36,C14,$D$7:$D$36))</x:f>
        <x:v>8800</x:v>
      </x:c>
      <x:c r="N14" s="489" t="n">
        <x:f>IF(C14="","",IF(ISNUMBER(J14),J14-M14,""))</x:f>
        <x:v>0</x:v>
      </x:c>
      <x:c r="O14" s="529" t="str">
        <x:f>IF(A14="","",IF(OR(H14="Invalid payment",I14="Invalid payment",J14="Invalid invoice"),"Invalid reference",IF(OR(L14&lt;0,N14&lt;0),"Overapplied","PASS")))</x:f>
        <x:v>PASS</x:v>
      </x:c>
    </x:row>
    <x:row r="15" ht="34" customHeight="1">
      <x:c r="A15" s="484" t="str">
        <x:v>APP-3009</x:v>
      </x:c>
      <x:c r="B15" s="514" t="str">
        <x:v>PMT-2010</x:v>
      </x:c>
      <x:c r="C15" s="514" t="str">
        <x:v>INV-1002</x:v>
      </x:c>
      <x:c r="D15" s="487" t="n">
        <x:v>22400</x:v>
      </x:c>
      <x:c r="E15" s="486" t="n">
        <x:v>46198</x:v>
      </x:c>
      <x:c r="F15" s="514" t="str">
        <x:v>Overpayment</x:v>
      </x:c>
      <x:c r="G15" s="515" t="str">
        <x:v>Applied invoice balance and retained 2600 dollars as unapplied cash</x:v>
      </x:c>
      <x:c r="H15" s="528" t="str">
        <x:f>IF(B15="","",IFERROR(XLOOKUP(B15,'Cash Receipts'!$A$7:$A$36,'Cash Receipts'!$C$7:$C$36),"Invalid payment"))</x:f>
        <x:v>Acadia Health Partners</x:v>
      </x:c>
      <x:c r="I15" s="489" t="n">
        <x:f>IF(B15="","",IFERROR(XLOOKUP(B15,'Cash Receipts'!$A$7:$A$36,'Cash Receipts'!$D$7:$D$36),"Invalid payment"))</x:f>
        <x:v>25000</x:v>
      </x:c>
      <x:c r="J15" s="489" t="n">
        <x:f>IF(C15="","",IFERROR(XLOOKUP(C15,'Invoice Register'!$A$7:$A$36,'Invoice Register'!$E$7:$E$36),"Invalid invoice"))</x:f>
        <x:v>22400</x:v>
      </x:c>
      <x:c r="K15" s="489" t="n">
        <x:f>IF(B15="","",SUMIF($B$7:$B$36,B15,$D$7:$D$36))</x:f>
        <x:v>22400</x:v>
      </x:c>
      <x:c r="L15" s="489" t="n">
        <x:f>IF(B15="","",IF(ISNUMBER(I15),I15-K15,""))</x:f>
        <x:v>2600</x:v>
      </x:c>
      <x:c r="M15" s="489" t="n">
        <x:f>IF(C15="","",SUMIF($C$7:$C$36,C15,$D$7:$D$36))</x:f>
        <x:v>22400</x:v>
      </x:c>
      <x:c r="N15" s="489" t="n">
        <x:f>IF(C15="","",IF(ISNUMBER(J15),J15-M15,""))</x:f>
        <x:v>0</x:v>
      </x:c>
      <x:c r="O15" s="529" t="str">
        <x:f>IF(A15="","",IF(OR(H15="Invalid payment",I15="Invalid payment",J15="Invalid invoice"),"Invalid reference",IF(OR(L15&lt;0,N15&lt;0),"Overapplied","PASS")))</x:f>
        <x:v>PASS</x:v>
      </x:c>
    </x:row>
    <x:row r="16" ht="34" customHeight="1">
      <x:c r="A16" s="484" t="str">
        <x:v>APP-3010</x:v>
      </x:c>
      <x:c r="B16" s="514" t="str">
        <x:v>PMT-2011</x:v>
      </x:c>
      <x:c r="C16" s="514" t="str">
        <x:v>INV-1015</x:v>
      </x:c>
      <x:c r="D16" s="487" t="n">
        <x:v>13450</x:v>
      </x:c>
      <x:c r="E16" s="486" t="n">
        <x:v>46199</x:v>
      </x:c>
      <x:c r="F16" s="514" t="str">
        <x:v>Exact</x:v>
      </x:c>
      <x:c r="G16" s="515" t="str">
        <x:v>Invoice and amount match remittance</x:v>
      </x:c>
      <x:c r="H16" s="528" t="str">
        <x:f>IF(B16="","",IFERROR(XLOOKUP(B16,'Cash Receipts'!$A$7:$A$36,'Cash Receipts'!$C$7:$C$36),"Invalid payment"))</x:f>
        <x:v>North Delta Equipment</x:v>
      </x:c>
      <x:c r="I16" s="489" t="n">
        <x:f>IF(B16="","",IFERROR(XLOOKUP(B16,'Cash Receipts'!$A$7:$A$36,'Cash Receipts'!$D$7:$D$36),"Invalid payment"))</x:f>
        <x:v>13450</x:v>
      </x:c>
      <x:c r="J16" s="489" t="n">
        <x:f>IF(C16="","",IFERROR(XLOOKUP(C16,'Invoice Register'!$A$7:$A$36,'Invoice Register'!$E$7:$E$36),"Invalid invoice"))</x:f>
        <x:v>13450</x:v>
      </x:c>
      <x:c r="K16" s="489" t="n">
        <x:f>IF(B16="","",SUMIF($B$7:$B$36,B16,$D$7:$D$36))</x:f>
        <x:v>13450</x:v>
      </x:c>
      <x:c r="L16" s="489" t="n">
        <x:f>IF(B16="","",IF(ISNUMBER(I16),I16-K16,""))</x:f>
        <x:v>0</x:v>
      </x:c>
      <x:c r="M16" s="489" t="n">
        <x:f>IF(C16="","",SUMIF($C$7:$C$36,C16,$D$7:$D$36))</x:f>
        <x:v>13450</x:v>
      </x:c>
      <x:c r="N16" s="489" t="n">
        <x:f>IF(C16="","",IF(ISNUMBER(J16),J16-M16,""))</x:f>
        <x:v>0</x:v>
      </x:c>
      <x:c r="O16" s="529" t="str">
        <x:f>IF(A16="","",IF(OR(H16="Invalid payment",I16="Invalid payment",J16="Invalid invoice"),"Invalid reference",IF(OR(L16&lt;0,N16&lt;0),"Overapplied","PASS")))</x:f>
        <x:v>PASS</x:v>
      </x:c>
    </x:row>
    <x:row r="17">
      <x:c r="A17" s="484"/>
      <x:c r="B17" s="514"/>
      <x:c r="C17" s="514"/>
      <x:c r="D17" s="487"/>
      <x:c r="E17" s="486"/>
      <x:c r="F17" s="514"/>
      <x:c r="G17" s="515"/>
      <x:c r="H17" s="528" t="str">
        <x:f>IF(B17="","",IFERROR(XLOOKUP(B17,'Cash Receipts'!$A$7:$A$36,'Cash Receipts'!$C$7:$C$36),"Invalid payment"))</x:f>
      </x:c>
      <x:c r="I17" s="489" t="str">
        <x:f>IF(B17="","",IFERROR(XLOOKUP(B17,'Cash Receipts'!$A$7:$A$36,'Cash Receipts'!$D$7:$D$36),"Invalid payment"))</x:f>
      </x:c>
      <x:c r="J17" s="489" t="str">
        <x:f>IF(C17="","",IFERROR(XLOOKUP(C17,'Invoice Register'!$A$7:$A$36,'Invoice Register'!$E$7:$E$36),"Invalid invoice"))</x:f>
      </x:c>
      <x:c r="K17" s="489" t="str">
        <x:f>IF(B17="","",SUMIF($B$7:$B$36,B17,$D$7:$D$36))</x:f>
      </x:c>
      <x:c r="L17" s="489" t="str">
        <x:f>IF(B17="","",IF(ISNUMBER(I17),I17-K17,""))</x:f>
      </x:c>
      <x:c r="M17" s="489" t="str">
        <x:f>IF(C17="","",SUMIF($C$7:$C$36,C17,$D$7:$D$36))</x:f>
      </x:c>
      <x:c r="N17" s="489" t="str">
        <x:f>IF(C17="","",IF(ISNUMBER(J17),J17-M17,""))</x:f>
      </x:c>
      <x:c r="O17" s="529" t="str">
        <x:f>IF(A17="","",IF(OR(H17="Invalid payment",I17="Invalid payment",J17="Invalid invoice"),"Invalid reference",IF(OR(L17&lt;0,N17&lt;0),"Overapplied","PASS")))</x:f>
      </x:c>
    </x:row>
    <x:row r="18">
      <x:c r="A18" s="484"/>
      <x:c r="B18" s="514"/>
      <x:c r="C18" s="514"/>
      <x:c r="D18" s="487"/>
      <x:c r="E18" s="486"/>
      <x:c r="F18" s="514"/>
      <x:c r="G18" s="515"/>
      <x:c r="H18" s="528" t="str">
        <x:f>IF(B18="","",IFERROR(XLOOKUP(B18,'Cash Receipts'!$A$7:$A$36,'Cash Receipts'!$C$7:$C$36),"Invalid payment"))</x:f>
      </x:c>
      <x:c r="I18" s="489" t="str">
        <x:f>IF(B18="","",IFERROR(XLOOKUP(B18,'Cash Receipts'!$A$7:$A$36,'Cash Receipts'!$D$7:$D$36),"Invalid payment"))</x:f>
      </x:c>
      <x:c r="J18" s="489" t="str">
        <x:f>IF(C18="","",IFERROR(XLOOKUP(C18,'Invoice Register'!$A$7:$A$36,'Invoice Register'!$E$7:$E$36),"Invalid invoice"))</x:f>
      </x:c>
      <x:c r="K18" s="489" t="str">
        <x:f>IF(B18="","",SUMIF($B$7:$B$36,B18,$D$7:$D$36))</x:f>
      </x:c>
      <x:c r="L18" s="489" t="str">
        <x:f>IF(B18="","",IF(ISNUMBER(I18),I18-K18,""))</x:f>
      </x:c>
      <x:c r="M18" s="489" t="str">
        <x:f>IF(C18="","",SUMIF($C$7:$C$36,C18,$D$7:$D$36))</x:f>
      </x:c>
      <x:c r="N18" s="489" t="str">
        <x:f>IF(C18="","",IF(ISNUMBER(J18),J18-M18,""))</x:f>
      </x:c>
      <x:c r="O18" s="529" t="str">
        <x:f>IF(A18="","",IF(OR(H18="Invalid payment",I18="Invalid payment",J18="Invalid invoice"),"Invalid reference",IF(OR(L18&lt;0,N18&lt;0),"Overapplied","PASS")))</x:f>
      </x:c>
    </x:row>
    <x:row r="19">
      <x:c r="A19" s="484"/>
      <x:c r="B19" s="514"/>
      <x:c r="C19" s="514"/>
      <x:c r="D19" s="487"/>
      <x:c r="E19" s="486"/>
      <x:c r="F19" s="514"/>
      <x:c r="G19" s="515"/>
      <x:c r="H19" s="528" t="str">
        <x:f>IF(B19="","",IFERROR(XLOOKUP(B19,'Cash Receipts'!$A$7:$A$36,'Cash Receipts'!$C$7:$C$36),"Invalid payment"))</x:f>
      </x:c>
      <x:c r="I19" s="489" t="str">
        <x:f>IF(B19="","",IFERROR(XLOOKUP(B19,'Cash Receipts'!$A$7:$A$36,'Cash Receipts'!$D$7:$D$36),"Invalid payment"))</x:f>
      </x:c>
      <x:c r="J19" s="489" t="str">
        <x:f>IF(C19="","",IFERROR(XLOOKUP(C19,'Invoice Register'!$A$7:$A$36,'Invoice Register'!$E$7:$E$36),"Invalid invoice"))</x:f>
      </x:c>
      <x:c r="K19" s="489" t="str">
        <x:f>IF(B19="","",SUMIF($B$7:$B$36,B19,$D$7:$D$36))</x:f>
      </x:c>
      <x:c r="L19" s="489" t="str">
        <x:f>IF(B19="","",IF(ISNUMBER(I19),I19-K19,""))</x:f>
      </x:c>
      <x:c r="M19" s="489" t="str">
        <x:f>IF(C19="","",SUMIF($C$7:$C$36,C19,$D$7:$D$36))</x:f>
      </x:c>
      <x:c r="N19" s="489" t="str">
        <x:f>IF(C19="","",IF(ISNUMBER(J19),J19-M19,""))</x:f>
      </x:c>
      <x:c r="O19" s="529" t="str">
        <x:f>IF(A19="","",IF(OR(H19="Invalid payment",I19="Invalid payment",J19="Invalid invoice"),"Invalid reference",IF(OR(L19&lt;0,N19&lt;0),"Overapplied","PASS")))</x:f>
      </x:c>
    </x:row>
    <x:row r="20">
      <x:c r="A20" s="484"/>
      <x:c r="B20" s="514"/>
      <x:c r="C20" s="514"/>
      <x:c r="D20" s="487"/>
      <x:c r="E20" s="486"/>
      <x:c r="F20" s="514"/>
      <x:c r="G20" s="515"/>
      <x:c r="H20" s="528" t="str">
        <x:f>IF(B20="","",IFERROR(XLOOKUP(B20,'Cash Receipts'!$A$7:$A$36,'Cash Receipts'!$C$7:$C$36),"Invalid payment"))</x:f>
      </x:c>
      <x:c r="I20" s="489" t="str">
        <x:f>IF(B20="","",IFERROR(XLOOKUP(B20,'Cash Receipts'!$A$7:$A$36,'Cash Receipts'!$D$7:$D$36),"Invalid payment"))</x:f>
      </x:c>
      <x:c r="J20" s="489" t="str">
        <x:f>IF(C20="","",IFERROR(XLOOKUP(C20,'Invoice Register'!$A$7:$A$36,'Invoice Register'!$E$7:$E$36),"Invalid invoice"))</x:f>
      </x:c>
      <x:c r="K20" s="489" t="str">
        <x:f>IF(B20="","",SUMIF($B$7:$B$36,B20,$D$7:$D$36))</x:f>
      </x:c>
      <x:c r="L20" s="489" t="str">
        <x:f>IF(B20="","",IF(ISNUMBER(I20),I20-K20,""))</x:f>
      </x:c>
      <x:c r="M20" s="489" t="str">
        <x:f>IF(C20="","",SUMIF($C$7:$C$36,C20,$D$7:$D$36))</x:f>
      </x:c>
      <x:c r="N20" s="489" t="str">
        <x:f>IF(C20="","",IF(ISNUMBER(J20),J20-M20,""))</x:f>
      </x:c>
      <x:c r="O20" s="529" t="str">
        <x:f>IF(A20="","",IF(OR(H20="Invalid payment",I20="Invalid payment",J20="Invalid invoice"),"Invalid reference",IF(OR(L20&lt;0,N20&lt;0),"Overapplied","PASS")))</x:f>
      </x:c>
    </x:row>
    <x:row r="21">
      <x:c r="A21" s="484"/>
      <x:c r="B21" s="514"/>
      <x:c r="C21" s="514"/>
      <x:c r="D21" s="487"/>
      <x:c r="E21" s="486"/>
      <x:c r="F21" s="514"/>
      <x:c r="G21" s="515"/>
      <x:c r="H21" s="528" t="str">
        <x:f>IF(B21="","",IFERROR(XLOOKUP(B21,'Cash Receipts'!$A$7:$A$36,'Cash Receipts'!$C$7:$C$36),"Invalid payment"))</x:f>
      </x:c>
      <x:c r="I21" s="489" t="str">
        <x:f>IF(B21="","",IFERROR(XLOOKUP(B21,'Cash Receipts'!$A$7:$A$36,'Cash Receipts'!$D$7:$D$36),"Invalid payment"))</x:f>
      </x:c>
      <x:c r="J21" s="489" t="str">
        <x:f>IF(C21="","",IFERROR(XLOOKUP(C21,'Invoice Register'!$A$7:$A$36,'Invoice Register'!$E$7:$E$36),"Invalid invoice"))</x:f>
      </x:c>
      <x:c r="K21" s="489" t="str">
        <x:f>IF(B21="","",SUMIF($B$7:$B$36,B21,$D$7:$D$36))</x:f>
      </x:c>
      <x:c r="L21" s="489" t="str">
        <x:f>IF(B21="","",IF(ISNUMBER(I21),I21-K21,""))</x:f>
      </x:c>
      <x:c r="M21" s="489" t="str">
        <x:f>IF(C21="","",SUMIF($C$7:$C$36,C21,$D$7:$D$36))</x:f>
      </x:c>
      <x:c r="N21" s="489" t="str">
        <x:f>IF(C21="","",IF(ISNUMBER(J21),J21-M21,""))</x:f>
      </x:c>
      <x:c r="O21" s="529" t="str">
        <x:f>IF(A21="","",IF(OR(H21="Invalid payment",I21="Invalid payment",J21="Invalid invoice"),"Invalid reference",IF(OR(L21&lt;0,N21&lt;0),"Overapplied","PASS")))</x:f>
      </x:c>
    </x:row>
    <x:row r="22">
      <x:c r="A22" s="484"/>
      <x:c r="B22" s="514"/>
      <x:c r="C22" s="514"/>
      <x:c r="D22" s="487"/>
      <x:c r="E22" s="486"/>
      <x:c r="F22" s="514"/>
      <x:c r="G22" s="515"/>
      <x:c r="H22" s="528" t="str">
        <x:f>IF(B22="","",IFERROR(XLOOKUP(B22,'Cash Receipts'!$A$7:$A$36,'Cash Receipts'!$C$7:$C$36),"Invalid payment"))</x:f>
      </x:c>
      <x:c r="I22" s="489" t="str">
        <x:f>IF(B22="","",IFERROR(XLOOKUP(B22,'Cash Receipts'!$A$7:$A$36,'Cash Receipts'!$D$7:$D$36),"Invalid payment"))</x:f>
      </x:c>
      <x:c r="J22" s="489" t="str">
        <x:f>IF(C22="","",IFERROR(XLOOKUP(C22,'Invoice Register'!$A$7:$A$36,'Invoice Register'!$E$7:$E$36),"Invalid invoice"))</x:f>
      </x:c>
      <x:c r="K22" s="489" t="str">
        <x:f>IF(B22="","",SUMIF($B$7:$B$36,B22,$D$7:$D$36))</x:f>
      </x:c>
      <x:c r="L22" s="489" t="str">
        <x:f>IF(B22="","",IF(ISNUMBER(I22),I22-K22,""))</x:f>
      </x:c>
      <x:c r="M22" s="489" t="str">
        <x:f>IF(C22="","",SUMIF($C$7:$C$36,C22,$D$7:$D$36))</x:f>
      </x:c>
      <x:c r="N22" s="489" t="str">
        <x:f>IF(C22="","",IF(ISNUMBER(J22),J22-M22,""))</x:f>
      </x:c>
      <x:c r="O22" s="529" t="str">
        <x:f>IF(A22="","",IF(OR(H22="Invalid payment",I22="Invalid payment",J22="Invalid invoice"),"Invalid reference",IF(OR(L22&lt;0,N22&lt;0),"Overapplied","PASS")))</x:f>
      </x:c>
    </x:row>
    <x:row r="23">
      <x:c r="A23" s="484"/>
      <x:c r="B23" s="514"/>
      <x:c r="C23" s="514"/>
      <x:c r="D23" s="487"/>
      <x:c r="E23" s="486"/>
      <x:c r="F23" s="514"/>
      <x:c r="G23" s="515"/>
      <x:c r="H23" s="528" t="str">
        <x:f>IF(B23="","",IFERROR(XLOOKUP(B23,'Cash Receipts'!$A$7:$A$36,'Cash Receipts'!$C$7:$C$36),"Invalid payment"))</x:f>
      </x:c>
      <x:c r="I23" s="489" t="str">
        <x:f>IF(B23="","",IFERROR(XLOOKUP(B23,'Cash Receipts'!$A$7:$A$36,'Cash Receipts'!$D$7:$D$36),"Invalid payment"))</x:f>
      </x:c>
      <x:c r="J23" s="489" t="str">
        <x:f>IF(C23="","",IFERROR(XLOOKUP(C23,'Invoice Register'!$A$7:$A$36,'Invoice Register'!$E$7:$E$36),"Invalid invoice"))</x:f>
      </x:c>
      <x:c r="K23" s="489" t="str">
        <x:f>IF(B23="","",SUMIF($B$7:$B$36,B23,$D$7:$D$36))</x:f>
      </x:c>
      <x:c r="L23" s="489" t="str">
        <x:f>IF(B23="","",IF(ISNUMBER(I23),I23-K23,""))</x:f>
      </x:c>
      <x:c r="M23" s="489" t="str">
        <x:f>IF(C23="","",SUMIF($C$7:$C$36,C23,$D$7:$D$36))</x:f>
      </x:c>
      <x:c r="N23" s="489" t="str">
        <x:f>IF(C23="","",IF(ISNUMBER(J23),J23-M23,""))</x:f>
      </x:c>
      <x:c r="O23" s="529" t="str">
        <x:f>IF(A23="","",IF(OR(H23="Invalid payment",I23="Invalid payment",J23="Invalid invoice"),"Invalid reference",IF(OR(L23&lt;0,N23&lt;0),"Overapplied","PASS")))</x:f>
      </x:c>
    </x:row>
    <x:row r="24">
      <x:c r="A24" s="484"/>
      <x:c r="B24" s="514"/>
      <x:c r="C24" s="514"/>
      <x:c r="D24" s="487"/>
      <x:c r="E24" s="486"/>
      <x:c r="F24" s="514"/>
      <x:c r="G24" s="515"/>
      <x:c r="H24" s="528" t="str">
        <x:f>IF(B24="","",IFERROR(XLOOKUP(B24,'Cash Receipts'!$A$7:$A$36,'Cash Receipts'!$C$7:$C$36),"Invalid payment"))</x:f>
      </x:c>
      <x:c r="I24" s="489" t="str">
        <x:f>IF(B24="","",IFERROR(XLOOKUP(B24,'Cash Receipts'!$A$7:$A$36,'Cash Receipts'!$D$7:$D$36),"Invalid payment"))</x:f>
      </x:c>
      <x:c r="J24" s="489" t="str">
        <x:f>IF(C24="","",IFERROR(XLOOKUP(C24,'Invoice Register'!$A$7:$A$36,'Invoice Register'!$E$7:$E$36),"Invalid invoice"))</x:f>
      </x:c>
      <x:c r="K24" s="489" t="str">
        <x:f>IF(B24="","",SUMIF($B$7:$B$36,B24,$D$7:$D$36))</x:f>
      </x:c>
      <x:c r="L24" s="489" t="str">
        <x:f>IF(B24="","",IF(ISNUMBER(I24),I24-K24,""))</x:f>
      </x:c>
      <x:c r="M24" s="489" t="str">
        <x:f>IF(C24="","",SUMIF($C$7:$C$36,C24,$D$7:$D$36))</x:f>
      </x:c>
      <x:c r="N24" s="489" t="str">
        <x:f>IF(C24="","",IF(ISNUMBER(J24),J24-M24,""))</x:f>
      </x:c>
      <x:c r="O24" s="529" t="str">
        <x:f>IF(A24="","",IF(OR(H24="Invalid payment",I24="Invalid payment",J24="Invalid invoice"),"Invalid reference",IF(OR(L24&lt;0,N24&lt;0),"Overapplied","PASS")))</x:f>
      </x:c>
    </x:row>
    <x:row r="25">
      <x:c r="A25" s="484"/>
      <x:c r="B25" s="514"/>
      <x:c r="C25" s="514"/>
      <x:c r="D25" s="487"/>
      <x:c r="E25" s="486"/>
      <x:c r="F25" s="514"/>
      <x:c r="G25" s="515"/>
      <x:c r="H25" s="528" t="str">
        <x:f>IF(B25="","",IFERROR(XLOOKUP(B25,'Cash Receipts'!$A$7:$A$36,'Cash Receipts'!$C$7:$C$36),"Invalid payment"))</x:f>
      </x:c>
      <x:c r="I25" s="489" t="str">
        <x:f>IF(B25="","",IFERROR(XLOOKUP(B25,'Cash Receipts'!$A$7:$A$36,'Cash Receipts'!$D$7:$D$36),"Invalid payment"))</x:f>
      </x:c>
      <x:c r="J25" s="489" t="str">
        <x:f>IF(C25="","",IFERROR(XLOOKUP(C25,'Invoice Register'!$A$7:$A$36,'Invoice Register'!$E$7:$E$36),"Invalid invoice"))</x:f>
      </x:c>
      <x:c r="K25" s="489" t="str">
        <x:f>IF(B25="","",SUMIF($B$7:$B$36,B25,$D$7:$D$36))</x:f>
      </x:c>
      <x:c r="L25" s="489" t="str">
        <x:f>IF(B25="","",IF(ISNUMBER(I25),I25-K25,""))</x:f>
      </x:c>
      <x:c r="M25" s="489" t="str">
        <x:f>IF(C25="","",SUMIF($C$7:$C$36,C25,$D$7:$D$36))</x:f>
      </x:c>
      <x:c r="N25" s="489" t="str">
        <x:f>IF(C25="","",IF(ISNUMBER(J25),J25-M25,""))</x:f>
      </x:c>
      <x:c r="O25" s="529" t="str">
        <x:f>IF(A25="","",IF(OR(H25="Invalid payment",I25="Invalid payment",J25="Invalid invoice"),"Invalid reference",IF(OR(L25&lt;0,N25&lt;0),"Overapplied","PASS")))</x:f>
      </x:c>
    </x:row>
    <x:row r="26">
      <x:c r="A26" s="484"/>
      <x:c r="B26" s="514"/>
      <x:c r="C26" s="514"/>
      <x:c r="D26" s="487"/>
      <x:c r="E26" s="486"/>
      <x:c r="F26" s="514"/>
      <x:c r="G26" s="515"/>
      <x:c r="H26" s="528" t="str">
        <x:f>IF(B26="","",IFERROR(XLOOKUP(B26,'Cash Receipts'!$A$7:$A$36,'Cash Receipts'!$C$7:$C$36),"Invalid payment"))</x:f>
      </x:c>
      <x:c r="I26" s="489" t="str">
        <x:f>IF(B26="","",IFERROR(XLOOKUP(B26,'Cash Receipts'!$A$7:$A$36,'Cash Receipts'!$D$7:$D$36),"Invalid payment"))</x:f>
      </x:c>
      <x:c r="J26" s="489" t="str">
        <x:f>IF(C26="","",IFERROR(XLOOKUP(C26,'Invoice Register'!$A$7:$A$36,'Invoice Register'!$E$7:$E$36),"Invalid invoice"))</x:f>
      </x:c>
      <x:c r="K26" s="489" t="str">
        <x:f>IF(B26="","",SUMIF($B$7:$B$36,B26,$D$7:$D$36))</x:f>
      </x:c>
      <x:c r="L26" s="489" t="str">
        <x:f>IF(B26="","",IF(ISNUMBER(I26),I26-K26,""))</x:f>
      </x:c>
      <x:c r="M26" s="489" t="str">
        <x:f>IF(C26="","",SUMIF($C$7:$C$36,C26,$D$7:$D$36))</x:f>
      </x:c>
      <x:c r="N26" s="489" t="str">
        <x:f>IF(C26="","",IF(ISNUMBER(J26),J26-M26,""))</x:f>
      </x:c>
      <x:c r="O26" s="529" t="str">
        <x:f>IF(A26="","",IF(OR(H26="Invalid payment",I26="Invalid payment",J26="Invalid invoice"),"Invalid reference",IF(OR(L26&lt;0,N26&lt;0),"Overapplied","PASS")))</x:f>
      </x:c>
    </x:row>
    <x:row r="27">
      <x:c r="A27" s="484"/>
      <x:c r="B27" s="514"/>
      <x:c r="C27" s="514"/>
      <x:c r="D27" s="487"/>
      <x:c r="E27" s="486"/>
      <x:c r="F27" s="514"/>
      <x:c r="G27" s="515"/>
      <x:c r="H27" s="528" t="str">
        <x:f>IF(B27="","",IFERROR(XLOOKUP(B27,'Cash Receipts'!$A$7:$A$36,'Cash Receipts'!$C$7:$C$36),"Invalid payment"))</x:f>
      </x:c>
      <x:c r="I27" s="489" t="str">
        <x:f>IF(B27="","",IFERROR(XLOOKUP(B27,'Cash Receipts'!$A$7:$A$36,'Cash Receipts'!$D$7:$D$36),"Invalid payment"))</x:f>
      </x:c>
      <x:c r="J27" s="489" t="str">
        <x:f>IF(C27="","",IFERROR(XLOOKUP(C27,'Invoice Register'!$A$7:$A$36,'Invoice Register'!$E$7:$E$36),"Invalid invoice"))</x:f>
      </x:c>
      <x:c r="K27" s="489" t="str">
        <x:f>IF(B27="","",SUMIF($B$7:$B$36,B27,$D$7:$D$36))</x:f>
      </x:c>
      <x:c r="L27" s="489" t="str">
        <x:f>IF(B27="","",IF(ISNUMBER(I27),I27-K27,""))</x:f>
      </x:c>
      <x:c r="M27" s="489" t="str">
        <x:f>IF(C27="","",SUMIF($C$7:$C$36,C27,$D$7:$D$36))</x:f>
      </x:c>
      <x:c r="N27" s="489" t="str">
        <x:f>IF(C27="","",IF(ISNUMBER(J27),J27-M27,""))</x:f>
      </x:c>
      <x:c r="O27" s="529" t="str">
        <x:f>IF(A27="","",IF(OR(H27="Invalid payment",I27="Invalid payment",J27="Invalid invoice"),"Invalid reference",IF(OR(L27&lt;0,N27&lt;0),"Overapplied","PASS")))</x:f>
      </x:c>
    </x:row>
    <x:row r="28">
      <x:c r="A28" s="484"/>
      <x:c r="B28" s="514"/>
      <x:c r="C28" s="514"/>
      <x:c r="D28" s="487"/>
      <x:c r="E28" s="486"/>
      <x:c r="F28" s="514"/>
      <x:c r="G28" s="515"/>
      <x:c r="H28" s="528" t="str">
        <x:f>IF(B28="","",IFERROR(XLOOKUP(B28,'Cash Receipts'!$A$7:$A$36,'Cash Receipts'!$C$7:$C$36),"Invalid payment"))</x:f>
      </x:c>
      <x:c r="I28" s="489" t="str">
        <x:f>IF(B28="","",IFERROR(XLOOKUP(B28,'Cash Receipts'!$A$7:$A$36,'Cash Receipts'!$D$7:$D$36),"Invalid payment"))</x:f>
      </x:c>
      <x:c r="J28" s="489" t="str">
        <x:f>IF(C28="","",IFERROR(XLOOKUP(C28,'Invoice Register'!$A$7:$A$36,'Invoice Register'!$E$7:$E$36),"Invalid invoice"))</x:f>
      </x:c>
      <x:c r="K28" s="489" t="str">
        <x:f>IF(B28="","",SUMIF($B$7:$B$36,B28,$D$7:$D$36))</x:f>
      </x:c>
      <x:c r="L28" s="489" t="str">
        <x:f>IF(B28="","",IF(ISNUMBER(I28),I28-K28,""))</x:f>
      </x:c>
      <x:c r="M28" s="489" t="str">
        <x:f>IF(C28="","",SUMIF($C$7:$C$36,C28,$D$7:$D$36))</x:f>
      </x:c>
      <x:c r="N28" s="489" t="str">
        <x:f>IF(C28="","",IF(ISNUMBER(J28),J28-M28,""))</x:f>
      </x:c>
      <x:c r="O28" s="529" t="str">
        <x:f>IF(A28="","",IF(OR(H28="Invalid payment",I28="Invalid payment",J28="Invalid invoice"),"Invalid reference",IF(OR(L28&lt;0,N28&lt;0),"Overapplied","PASS")))</x:f>
      </x:c>
    </x:row>
    <x:row r="29">
      <x:c r="A29" s="484"/>
      <x:c r="B29" s="514"/>
      <x:c r="C29" s="514"/>
      <x:c r="D29" s="487"/>
      <x:c r="E29" s="486"/>
      <x:c r="F29" s="514"/>
      <x:c r="G29" s="515"/>
      <x:c r="H29" s="528" t="str">
        <x:f>IF(B29="","",IFERROR(XLOOKUP(B29,'Cash Receipts'!$A$7:$A$36,'Cash Receipts'!$C$7:$C$36),"Invalid payment"))</x:f>
      </x:c>
      <x:c r="I29" s="489" t="str">
        <x:f>IF(B29="","",IFERROR(XLOOKUP(B29,'Cash Receipts'!$A$7:$A$36,'Cash Receipts'!$D$7:$D$36),"Invalid payment"))</x:f>
      </x:c>
      <x:c r="J29" s="489" t="str">
        <x:f>IF(C29="","",IFERROR(XLOOKUP(C29,'Invoice Register'!$A$7:$A$36,'Invoice Register'!$E$7:$E$36),"Invalid invoice"))</x:f>
      </x:c>
      <x:c r="K29" s="489" t="str">
        <x:f>IF(B29="","",SUMIF($B$7:$B$36,B29,$D$7:$D$36))</x:f>
      </x:c>
      <x:c r="L29" s="489" t="str">
        <x:f>IF(B29="","",IF(ISNUMBER(I29),I29-K29,""))</x:f>
      </x:c>
      <x:c r="M29" s="489" t="str">
        <x:f>IF(C29="","",SUMIF($C$7:$C$36,C29,$D$7:$D$36))</x:f>
      </x:c>
      <x:c r="N29" s="489" t="str">
        <x:f>IF(C29="","",IF(ISNUMBER(J29),J29-M29,""))</x:f>
      </x:c>
      <x:c r="O29" s="529" t="str">
        <x:f>IF(A29="","",IF(OR(H29="Invalid payment",I29="Invalid payment",J29="Invalid invoice"),"Invalid reference",IF(OR(L29&lt;0,N29&lt;0),"Overapplied","PASS")))</x:f>
      </x:c>
    </x:row>
    <x:row r="30">
      <x:c r="A30" s="484"/>
      <x:c r="B30" s="514"/>
      <x:c r="C30" s="514"/>
      <x:c r="D30" s="487"/>
      <x:c r="E30" s="486"/>
      <x:c r="F30" s="514"/>
      <x:c r="G30" s="515"/>
      <x:c r="H30" s="528" t="str">
        <x:f>IF(B30="","",IFERROR(XLOOKUP(B30,'Cash Receipts'!$A$7:$A$36,'Cash Receipts'!$C$7:$C$36),"Invalid payment"))</x:f>
      </x:c>
      <x:c r="I30" s="489" t="str">
        <x:f>IF(B30="","",IFERROR(XLOOKUP(B30,'Cash Receipts'!$A$7:$A$36,'Cash Receipts'!$D$7:$D$36),"Invalid payment"))</x:f>
      </x:c>
      <x:c r="J30" s="489" t="str">
        <x:f>IF(C30="","",IFERROR(XLOOKUP(C30,'Invoice Register'!$A$7:$A$36,'Invoice Register'!$E$7:$E$36),"Invalid invoice"))</x:f>
      </x:c>
      <x:c r="K30" s="489" t="str">
        <x:f>IF(B30="","",SUMIF($B$7:$B$36,B30,$D$7:$D$36))</x:f>
      </x:c>
      <x:c r="L30" s="489" t="str">
        <x:f>IF(B30="","",IF(ISNUMBER(I30),I30-K30,""))</x:f>
      </x:c>
      <x:c r="M30" s="489" t="str">
        <x:f>IF(C30="","",SUMIF($C$7:$C$36,C30,$D$7:$D$36))</x:f>
      </x:c>
      <x:c r="N30" s="489" t="str">
        <x:f>IF(C30="","",IF(ISNUMBER(J30),J30-M30,""))</x:f>
      </x:c>
      <x:c r="O30" s="529" t="str">
        <x:f>IF(A30="","",IF(OR(H30="Invalid payment",I30="Invalid payment",J30="Invalid invoice"),"Invalid reference",IF(OR(L30&lt;0,N30&lt;0),"Overapplied","PASS")))</x:f>
      </x:c>
    </x:row>
    <x:row r="31">
      <x:c r="A31" s="484"/>
      <x:c r="B31" s="514"/>
      <x:c r="C31" s="514"/>
      <x:c r="D31" s="487"/>
      <x:c r="E31" s="486"/>
      <x:c r="F31" s="514"/>
      <x:c r="G31" s="515"/>
      <x:c r="H31" s="528" t="str">
        <x:f>IF(B31="","",IFERROR(XLOOKUP(B31,'Cash Receipts'!$A$7:$A$36,'Cash Receipts'!$C$7:$C$36),"Invalid payment"))</x:f>
      </x:c>
      <x:c r="I31" s="489" t="str">
        <x:f>IF(B31="","",IFERROR(XLOOKUP(B31,'Cash Receipts'!$A$7:$A$36,'Cash Receipts'!$D$7:$D$36),"Invalid payment"))</x:f>
      </x:c>
      <x:c r="J31" s="489" t="str">
        <x:f>IF(C31="","",IFERROR(XLOOKUP(C31,'Invoice Register'!$A$7:$A$36,'Invoice Register'!$E$7:$E$36),"Invalid invoice"))</x:f>
      </x:c>
      <x:c r="K31" s="489" t="str">
        <x:f>IF(B31="","",SUMIF($B$7:$B$36,B31,$D$7:$D$36))</x:f>
      </x:c>
      <x:c r="L31" s="489" t="str">
        <x:f>IF(B31="","",IF(ISNUMBER(I31),I31-K31,""))</x:f>
      </x:c>
      <x:c r="M31" s="489" t="str">
        <x:f>IF(C31="","",SUMIF($C$7:$C$36,C31,$D$7:$D$36))</x:f>
      </x:c>
      <x:c r="N31" s="489" t="str">
        <x:f>IF(C31="","",IF(ISNUMBER(J31),J31-M31,""))</x:f>
      </x:c>
      <x:c r="O31" s="529" t="str">
        <x:f>IF(A31="","",IF(OR(H31="Invalid payment",I31="Invalid payment",J31="Invalid invoice"),"Invalid reference",IF(OR(L31&lt;0,N31&lt;0),"Overapplied","PASS")))</x:f>
      </x:c>
    </x:row>
    <x:row r="32">
      <x:c r="A32" s="484"/>
      <x:c r="B32" s="514"/>
      <x:c r="C32" s="514"/>
      <x:c r="D32" s="487"/>
      <x:c r="E32" s="486"/>
      <x:c r="F32" s="514"/>
      <x:c r="G32" s="515"/>
      <x:c r="H32" s="528" t="str">
        <x:f>IF(B32="","",IFERROR(XLOOKUP(B32,'Cash Receipts'!$A$7:$A$36,'Cash Receipts'!$C$7:$C$36),"Invalid payment"))</x:f>
      </x:c>
      <x:c r="I32" s="489" t="str">
        <x:f>IF(B32="","",IFERROR(XLOOKUP(B32,'Cash Receipts'!$A$7:$A$36,'Cash Receipts'!$D$7:$D$36),"Invalid payment"))</x:f>
      </x:c>
      <x:c r="J32" s="489" t="str">
        <x:f>IF(C32="","",IFERROR(XLOOKUP(C32,'Invoice Register'!$A$7:$A$36,'Invoice Register'!$E$7:$E$36),"Invalid invoice"))</x:f>
      </x:c>
      <x:c r="K32" s="489" t="str">
        <x:f>IF(B32="","",SUMIF($B$7:$B$36,B32,$D$7:$D$36))</x:f>
      </x:c>
      <x:c r="L32" s="489" t="str">
        <x:f>IF(B32="","",IF(ISNUMBER(I32),I32-K32,""))</x:f>
      </x:c>
      <x:c r="M32" s="489" t="str">
        <x:f>IF(C32="","",SUMIF($C$7:$C$36,C32,$D$7:$D$36))</x:f>
      </x:c>
      <x:c r="N32" s="489" t="str">
        <x:f>IF(C32="","",IF(ISNUMBER(J32),J32-M32,""))</x:f>
      </x:c>
      <x:c r="O32" s="529" t="str">
        <x:f>IF(A32="","",IF(OR(H32="Invalid payment",I32="Invalid payment",J32="Invalid invoice"),"Invalid reference",IF(OR(L32&lt;0,N32&lt;0),"Overapplied","PASS")))</x:f>
      </x:c>
    </x:row>
    <x:row r="33">
      <x:c r="A33" s="484"/>
      <x:c r="B33" s="514"/>
      <x:c r="C33" s="514"/>
      <x:c r="D33" s="487"/>
      <x:c r="E33" s="486"/>
      <x:c r="F33" s="514"/>
      <x:c r="G33" s="515"/>
      <x:c r="H33" s="528" t="str">
        <x:f>IF(B33="","",IFERROR(XLOOKUP(B33,'Cash Receipts'!$A$7:$A$36,'Cash Receipts'!$C$7:$C$36),"Invalid payment"))</x:f>
      </x:c>
      <x:c r="I33" s="489" t="str">
        <x:f>IF(B33="","",IFERROR(XLOOKUP(B33,'Cash Receipts'!$A$7:$A$36,'Cash Receipts'!$D$7:$D$36),"Invalid payment"))</x:f>
      </x:c>
      <x:c r="J33" s="489" t="str">
        <x:f>IF(C33="","",IFERROR(XLOOKUP(C33,'Invoice Register'!$A$7:$A$36,'Invoice Register'!$E$7:$E$36),"Invalid invoice"))</x:f>
      </x:c>
      <x:c r="K33" s="489" t="str">
        <x:f>IF(B33="","",SUMIF($B$7:$B$36,B33,$D$7:$D$36))</x:f>
      </x:c>
      <x:c r="L33" s="489" t="str">
        <x:f>IF(B33="","",IF(ISNUMBER(I33),I33-K33,""))</x:f>
      </x:c>
      <x:c r="M33" s="489" t="str">
        <x:f>IF(C33="","",SUMIF($C$7:$C$36,C33,$D$7:$D$36))</x:f>
      </x:c>
      <x:c r="N33" s="489" t="str">
        <x:f>IF(C33="","",IF(ISNUMBER(J33),J33-M33,""))</x:f>
      </x:c>
      <x:c r="O33" s="529" t="str">
        <x:f>IF(A33="","",IF(OR(H33="Invalid payment",I33="Invalid payment",J33="Invalid invoice"),"Invalid reference",IF(OR(L33&lt;0,N33&lt;0),"Overapplied","PASS")))</x:f>
      </x:c>
    </x:row>
    <x:row r="34">
      <x:c r="A34" s="484"/>
      <x:c r="B34" s="514"/>
      <x:c r="C34" s="514"/>
      <x:c r="D34" s="487"/>
      <x:c r="E34" s="486"/>
      <x:c r="F34" s="514"/>
      <x:c r="G34" s="515"/>
      <x:c r="H34" s="528" t="str">
        <x:f>IF(B34="","",IFERROR(XLOOKUP(B34,'Cash Receipts'!$A$7:$A$36,'Cash Receipts'!$C$7:$C$36),"Invalid payment"))</x:f>
      </x:c>
      <x:c r="I34" s="489" t="str">
        <x:f>IF(B34="","",IFERROR(XLOOKUP(B34,'Cash Receipts'!$A$7:$A$36,'Cash Receipts'!$D$7:$D$36),"Invalid payment"))</x:f>
      </x:c>
      <x:c r="J34" s="489" t="str">
        <x:f>IF(C34="","",IFERROR(XLOOKUP(C34,'Invoice Register'!$A$7:$A$36,'Invoice Register'!$E$7:$E$36),"Invalid invoice"))</x:f>
      </x:c>
      <x:c r="K34" s="489" t="str">
        <x:f>IF(B34="","",SUMIF($B$7:$B$36,B34,$D$7:$D$36))</x:f>
      </x:c>
      <x:c r="L34" s="489" t="str">
        <x:f>IF(B34="","",IF(ISNUMBER(I34),I34-K34,""))</x:f>
      </x:c>
      <x:c r="M34" s="489" t="str">
        <x:f>IF(C34="","",SUMIF($C$7:$C$36,C34,$D$7:$D$36))</x:f>
      </x:c>
      <x:c r="N34" s="489" t="str">
        <x:f>IF(C34="","",IF(ISNUMBER(J34),J34-M34,""))</x:f>
      </x:c>
      <x:c r="O34" s="529" t="str">
        <x:f>IF(A34="","",IF(OR(H34="Invalid payment",I34="Invalid payment",J34="Invalid invoice"),"Invalid reference",IF(OR(L34&lt;0,N34&lt;0),"Overapplied","PASS")))</x:f>
      </x:c>
    </x:row>
    <x:row r="35">
      <x:c r="A35" s="484"/>
      <x:c r="B35" s="514"/>
      <x:c r="C35" s="514"/>
      <x:c r="D35" s="487"/>
      <x:c r="E35" s="486"/>
      <x:c r="F35" s="514"/>
      <x:c r="G35" s="515"/>
      <x:c r="H35" s="528" t="str">
        <x:f>IF(B35="","",IFERROR(XLOOKUP(B35,'Cash Receipts'!$A$7:$A$36,'Cash Receipts'!$C$7:$C$36),"Invalid payment"))</x:f>
      </x:c>
      <x:c r="I35" s="489" t="str">
        <x:f>IF(B35="","",IFERROR(XLOOKUP(B35,'Cash Receipts'!$A$7:$A$36,'Cash Receipts'!$D$7:$D$36),"Invalid payment"))</x:f>
      </x:c>
      <x:c r="J35" s="489" t="str">
        <x:f>IF(C35="","",IFERROR(XLOOKUP(C35,'Invoice Register'!$A$7:$A$36,'Invoice Register'!$E$7:$E$36),"Invalid invoice"))</x:f>
      </x:c>
      <x:c r="K35" s="489" t="str">
        <x:f>IF(B35="","",SUMIF($B$7:$B$36,B35,$D$7:$D$36))</x:f>
      </x:c>
      <x:c r="L35" s="489" t="str">
        <x:f>IF(B35="","",IF(ISNUMBER(I35),I35-K35,""))</x:f>
      </x:c>
      <x:c r="M35" s="489" t="str">
        <x:f>IF(C35="","",SUMIF($C$7:$C$36,C35,$D$7:$D$36))</x:f>
      </x:c>
      <x:c r="N35" s="489" t="str">
        <x:f>IF(C35="","",IF(ISNUMBER(J35),J35-M35,""))</x:f>
      </x:c>
      <x:c r="O35" s="529" t="str">
        <x:f>IF(A35="","",IF(OR(H35="Invalid payment",I35="Invalid payment",J35="Invalid invoice"),"Invalid reference",IF(OR(L35&lt;0,N35&lt;0),"Overapplied","PASS")))</x:f>
      </x:c>
    </x:row>
    <x:row r="36">
      <x:c r="A36" s="493"/>
      <x:c r="B36" s="520"/>
      <x:c r="C36" s="520"/>
      <x:c r="D36" s="496"/>
      <x:c r="E36" s="495"/>
      <x:c r="F36" s="520"/>
      <x:c r="G36" s="521"/>
      <x:c r="H36" s="530" t="str">
        <x:f>IF(B36="","",IFERROR(XLOOKUP(B36,'Cash Receipts'!$A$7:$A$36,'Cash Receipts'!$C$7:$C$36),"Invalid payment"))</x:f>
      </x:c>
      <x:c r="I36" s="498" t="str">
        <x:f>IF(B36="","",IFERROR(XLOOKUP(B36,'Cash Receipts'!$A$7:$A$36,'Cash Receipts'!$D$7:$D$36),"Invalid payment"))</x:f>
      </x:c>
      <x:c r="J36" s="498" t="str">
        <x:f>IF(C36="","",IFERROR(XLOOKUP(C36,'Invoice Register'!$A$7:$A$36,'Invoice Register'!$E$7:$E$36),"Invalid invoice"))</x:f>
      </x:c>
      <x:c r="K36" s="498" t="str">
        <x:f>IF(B36="","",SUMIF($B$7:$B$36,B36,$D$7:$D$36))</x:f>
      </x:c>
      <x:c r="L36" s="498" t="str">
        <x:f>IF(B36="","",IF(ISNUMBER(I36),I36-K36,""))</x:f>
      </x:c>
      <x:c r="M36" s="498" t="str">
        <x:f>IF(C36="","",SUMIF($C$7:$C$36,C36,$D$7:$D$36))</x:f>
      </x:c>
      <x:c r="N36" s="498" t="str">
        <x:f>IF(C36="","",IF(ISNUMBER(J36),J36-M36,""))</x:f>
      </x:c>
      <x:c r="O36" s="531" t="str">
        <x:f>IF(A36="","",IF(OR(H36="Invalid payment",I36="Invalid payment",J36="Invalid invoice"),"Invalid reference",IF(OR(L36&lt;0,N36&lt;0),"Overapplied","PASS")))</x:f>
      </x:c>
    </x:row>
  </x:sheetData>
  <x:mergeCells>
    <x:mergeCell ref="A1:O2"/>
    <x:mergeCell ref="A3:O3"/>
    <x:mergeCell ref="A4:O4"/>
  </x:mergeCells>
  <x:conditionalFormatting sqref="O7:O36">
    <x:cfRule type="containsText" dxfId="9" priority="1" operator="containsText" text="PASS"/>
    <x:cfRule type="containsText" dxfId="10" priority="2" operator="containsText" text="Overapplied"/>
    <x:cfRule type="containsText" dxfId="11" priority="3" operator="containsText" text="Invalid"/>
  </x:conditionalFormatting>
  <x:dataValidations count="3">
    <x:dataValidation type="list" sqref="B7:B36">
      <x:formula1>'Cash Receipts'!$A$7:$A$36</x:formula1>
    </x:dataValidation>
    <x:dataValidation type="list" sqref="C7:C36">
      <x:formula1>'Invoice Register'!$A$7:$A$36</x:formula1>
    </x:dataValidation>
    <x:dataValidation type="list" sqref="F7:F36">
      <x:formula1>"Exact,Partial,Short Pay,Overpayment,Manual"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55a2d8fff040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6" hidden="0" customWidth="1"/>
    <x:col min="5" max="5" width="17" hidden="0" customWidth="1"/>
    <x:col min="6" max="6" width="22" hidden="0" customWidth="1"/>
    <x:col min="7" max="7" width="16" hidden="0" customWidth="1"/>
    <x:col min="8" max="8" width="16" hidden="0" customWidth="1"/>
    <x:col min="9" max="9" width="18" hidden="0" customWidth="1"/>
  </x:cols>
  <x:sheetData>
    <x:row r="1">
      <x:c r="A1" s="4" t="str">
        <x:v>Customer Cash Application Summary</x:v>
      </x:c>
      <x:c r="B1" s="4" t="str">
        <x:v>Customer Cash Application Summary</x:v>
      </x:c>
      <x:c r="C1" s="4" t="str">
        <x:v>Customer Cash Application Summary</x:v>
      </x:c>
      <x:c r="D1" s="4" t="str">
        <x:v>Customer Cash Application Summary</x:v>
      </x:c>
      <x:c r="E1" s="4" t="str">
        <x:v>Customer Cash Application Summary</x:v>
      </x:c>
      <x:c r="F1" s="4" t="str">
        <x:v>Customer Cash Application Summary</x:v>
      </x:c>
      <x:c r="G1" s="4" t="str">
        <x:v>Customer Cash Application Summary</x:v>
      </x:c>
      <x:c r="H1" s="4" t="str">
        <x:v>Customer Cash Application Summary</x:v>
      </x:c>
      <x:c r="I1" s="4" t="str">
        <x:v>Customer Cash Application Summary</x:v>
      </x:c>
    </x:row>
    <x:row r="2">
      <x:c r="A2" s="4" t="str">
        <x:v>Customer Cash Application Summary</x:v>
      </x:c>
      <x:c r="B2" s="4" t="str">
        <x:v>Customer Cash Application Summary</x:v>
      </x:c>
      <x:c r="C2" s="4" t="str">
        <x:v>Customer Cash Application Summary</x:v>
      </x:c>
      <x:c r="D2" s="4" t="str">
        <x:v>Customer Cash Application Summary</x:v>
      </x:c>
      <x:c r="E2" s="4" t="str">
        <x:v>Customer Cash Application Summary</x:v>
      </x:c>
      <x:c r="F2" s="4" t="str">
        <x:v>Customer Cash Application Summary</x:v>
      </x:c>
      <x:c r="G2" s="4" t="str">
        <x:v>Customer Cash Application Summary</x:v>
      </x:c>
      <x:c r="H2" s="4" t="str">
        <x:v>Customer Cash Application Summary</x:v>
      </x:c>
      <x:c r="I2" s="4" t="str">
        <x:v>Customer Cash Application Summary</x:v>
      </x:c>
    </x:row>
    <x:row r="3">
      <x:c r="A3" s="8" t="str">
        <x:v>Customer-level invoice, receipt, application, unapplied cash, and follow-up metrics</x:v>
      </x:c>
      <x:c r="B3" s="8" t="str">
        <x:v>Customer-level invoice, receipt, application, unapplied cash, and follow-up metrics</x:v>
      </x:c>
      <x:c r="C3" s="8" t="str">
        <x:v>Customer-level invoice, receipt, application, unapplied cash, and follow-up metrics</x:v>
      </x:c>
      <x:c r="D3" s="8" t="str">
        <x:v>Customer-level invoice, receipt, application, unapplied cash, and follow-up metrics</x:v>
      </x:c>
      <x:c r="E3" s="8" t="str">
        <x:v>Customer-level invoice, receipt, application, unapplied cash, and follow-up metrics</x:v>
      </x:c>
      <x:c r="F3" s="8" t="str">
        <x:v>Customer-level invoice, receipt, application, unapplied cash, and follow-up metrics</x:v>
      </x:c>
      <x:c r="G3" s="8" t="str">
        <x:v>Customer-level invoice, receipt, application, unapplied cash, and follow-up metrics</x:v>
      </x:c>
      <x:c r="H3" s="8" t="str">
        <x:v>Customer-level invoice, receipt, application, unapplied cash, and follow-up metrics</x:v>
      </x:c>
      <x:c r="I3" s="8" t="str">
        <x:v>Customer-level invoice, receipt, application, unapplied cash, and follow-up metrics</x:v>
      </x:c>
    </x:row>
    <x:row r="4">
      <x:c r="A4" s="533" t="str">
        <x:v>Customers are sorted by unapplied cash and collection risk. Add a customer name to a blank row to activate the prefilled formulas.</x:v>
      </x:c>
      <x:c r="B4" s="533" t="str">
        <x:v>Customers are sorted by unapplied cash and collection risk. Add a customer name to a blank row to activate the prefilled formulas.</x:v>
      </x:c>
      <x:c r="C4" s="533" t="str">
        <x:v>Customers are sorted by unapplied cash and collection risk. Add a customer name to a blank row to activate the prefilled formulas.</x:v>
      </x:c>
      <x:c r="D4" s="533" t="str">
        <x:v>Customers are sorted by unapplied cash and collection risk. Add a customer name to a blank row to activate the prefilled formulas.</x:v>
      </x:c>
      <x:c r="E4" s="533" t="str">
        <x:v>Customers are sorted by unapplied cash and collection risk. Add a customer name to a blank row to activate the prefilled formulas.</x:v>
      </x:c>
      <x:c r="F4" s="533" t="str">
        <x:v>Customers are sorted by unapplied cash and collection risk. Add a customer name to a blank row to activate the prefilled formulas.</x:v>
      </x:c>
      <x:c r="G4" s="533" t="str">
        <x:v>Customers are sorted by unapplied cash and collection risk. Add a customer name to a blank row to activate the prefilled formulas.</x:v>
      </x:c>
      <x:c r="H4" s="533" t="str">
        <x:v>Customers are sorted by unapplied cash and collection risk. Add a customer name to a blank row to activate the prefilled formulas.</x:v>
      </x:c>
      <x:c r="I4" s="533" t="str">
        <x:v>Customers are sorted by unapplied cash and collection risk. Add a customer name to a blank row to activate the prefilled formulas.</x:v>
      </x:c>
    </x:row>
    <x:row r="6">
      <x:c r="A6" s="464" t="str">
        <x:v>Customer</x:v>
      </x:c>
      <x:c r="B6" s="464" t="str">
        <x:v>Invoice Amount</x:v>
      </x:c>
      <x:c r="C6" s="464" t="str">
        <x:v>Cash Receipts</x:v>
      </x:c>
      <x:c r="D6" s="464" t="str">
        <x:v>Applied Cash</x:v>
      </x:c>
      <x:c r="E6" s="464" t="str">
        <x:v>Unapplied Cash</x:v>
      </x:c>
      <x:c r="F6" s="464" t="str">
        <x:v>Remaining Invoice Balance</x:v>
      </x:c>
      <x:c r="G6" s="464" t="str">
        <x:v>Application Rate</x:v>
      </x:c>
      <x:c r="H6" s="464" t="str">
        <x:v>Exception Count</x:v>
      </x:c>
      <x:c r="I6" s="464" t="str">
        <x:v>Follow-up Priority</x:v>
      </x:c>
    </x:row>
    <x:row r="7">
      <x:c r="A7" s="535" t="str">
        <x:v>Ivory Tech Consulting</x:v>
      </x:c>
      <x:c r="B7" s="480" t="n">
        <x:f>IF(A7="","",SUMIF('Invoice Register'!$B$7:$B$36,A7,'Invoice Register'!$E$7:$E$36))</x:f>
        <x:v>17110</x:v>
      </x:c>
      <x:c r="C7" s="480" t="n">
        <x:f>IF(A7="","",SUMIF('Cash Receipts'!$C$7:$C$36,A7,'Cash Receipts'!$D$7:$D$36))</x:f>
        <x:v>17110</x:v>
      </x:c>
      <x:c r="D7" s="480" t="n">
        <x:f>IF(A7="","",SUMIF('Application Detail'!$H$7:$H$36,A7,'Application Detail'!$D$7:$D$36))</x:f>
        <x:v>0</x:v>
      </x:c>
      <x:c r="E7" s="480" t="n">
        <x:f>IF(A7="","",SUMIF('Cash Receipts'!$C$7:$C$36,A7,'Cash Receipts'!$K$7:$K$36))</x:f>
        <x:v>17110</x:v>
      </x:c>
      <x:c r="F7" s="480" t="n">
        <x:f>IF(A7="","",SUMIF('Invoice Register'!$B$7:$B$36,A7,'Invoice Register'!$I$7:$I$36))</x:f>
        <x:v>17110</x:v>
      </x:c>
      <x:c r="G7" s="510" t="n">
        <x:f>IF(A7="","",IFERROR(D7/C7,0))</x:f>
        <x:v>0</x:v>
      </x:c>
      <x:c r="H7" s="536" t="n">
        <x:f>IF(A7="","",COUNTIFS('Cash Receipts'!$C$7:$C$36,A7,'Cash Receipts'!$M$7:$M$36,"Partially Applied")+COUNTIFS('Cash Receipts'!$C$7:$C$36,A7,'Cash Receipts'!$M$7:$M$36,"Unapplied")+COUNTIFS('Cash Receipts'!$C$7:$C$36,A7,'Cash Receipts'!$M$7:$M$36,"Overapplied")+COUNTIFS('Invoice Register'!$B$7:$B$36,A7,'Invoice Register'!$L$7:$L$36,"Short pay")+COUNTIFS('Invoice Register'!$B$7:$B$36,A7,'Invoice Register'!$L$7:$L$36,"Partial payment")+COUNTIFS('Invoice Register'!$B$7:$B$36,A7,'Invoice Register'!$L$7:$L$36,"No application"))</x:f>
        <x:v>2</x:v>
      </x:c>
      <x:c r="I7" s="527" t="str">
        <x:f>IF(A7="","",IF(OR(E7&gt;=5000,F7&gt;=10000,H7&gt;=2),"High",IF(OR(E7&gt;0,F7&gt;0,H7&gt;0),"Medium","Complete")))</x:f>
        <x:v>High</x:v>
      </x:c>
    </x:row>
    <x:row r="8">
      <x:c r="A8" s="537" t="str">
        <x:v>Unidentified Customer</x:v>
      </x:c>
      <x:c r="B8" s="489" t="n">
        <x:f>IF(A8="","",SUMIF('Invoice Register'!$B$7:$B$36,A8,'Invoice Register'!$E$7:$E$36))</x:f>
        <x:v>0</x:v>
      </x:c>
      <x:c r="C8" s="489" t="n">
        <x:f>IF(A8="","",SUMIF('Cash Receipts'!$C$7:$C$36,A8,'Cash Receipts'!$D$7:$D$36))</x:f>
        <x:v>5000</x:v>
      </x:c>
      <x:c r="D8" s="489" t="n">
        <x:f>IF(A8="","",SUMIF('Application Detail'!$H$7:$H$36,A8,'Application Detail'!$D$7:$D$36))</x:f>
        <x:v>0</x:v>
      </x:c>
      <x:c r="E8" s="489" t="n">
        <x:f>IF(A8="","",SUMIF('Cash Receipts'!$C$7:$C$36,A8,'Cash Receipts'!$K$7:$K$36))</x:f>
        <x:v>5000</x:v>
      </x:c>
      <x:c r="F8" s="489" t="n">
        <x:f>IF(A8="","",SUMIF('Invoice Register'!$B$7:$B$36,A8,'Invoice Register'!$I$7:$I$36))</x:f>
        <x:v>0</x:v>
      </x:c>
      <x:c r="G8" s="516" t="n">
        <x:f>IF(A8="","",IFERROR(D8/C8,0))</x:f>
        <x:v>0</x:v>
      </x:c>
      <x:c r="H8" s="538" t="n">
        <x:f>IF(A8="","",COUNTIFS('Cash Receipts'!$C$7:$C$36,A8,'Cash Receipts'!$M$7:$M$36,"Partially Applied")+COUNTIFS('Cash Receipts'!$C$7:$C$36,A8,'Cash Receipts'!$M$7:$M$36,"Unapplied")+COUNTIFS('Cash Receipts'!$C$7:$C$36,A8,'Cash Receipts'!$M$7:$M$36,"Overapplied")+COUNTIFS('Invoice Register'!$B$7:$B$36,A8,'Invoice Register'!$L$7:$L$36,"Short pay")+COUNTIFS('Invoice Register'!$B$7:$B$36,A8,'Invoice Register'!$L$7:$L$36,"Partial payment")+COUNTIFS('Invoice Register'!$B$7:$B$36,A8,'Invoice Register'!$L$7:$L$36,"No application"))</x:f>
        <x:v>1</x:v>
      </x:c>
      <x:c r="I8" s="529" t="str">
        <x:f>IF(A8="","",IF(OR(E8&gt;=5000,F8&gt;=10000,H8&gt;=2),"High",IF(OR(E8&gt;0,F8&gt;0,H8&gt;0),"Medium","Complete")))</x:f>
        <x:v>High</x:v>
      </x:c>
    </x:row>
    <x:row r="9">
      <x:c r="A9" s="537" t="str">
        <x:v>Acadia Health Partners</x:v>
      </x:c>
      <x:c r="B9" s="489" t="n">
        <x:f>IF(A9="","",SUMIF('Invoice Register'!$B$7:$B$36,A9,'Invoice Register'!$E$7:$E$36))</x:f>
        <x:v>40650</x:v>
      </x:c>
      <x:c r="C9" s="489" t="n">
        <x:f>IF(A9="","",SUMIF('Cash Receipts'!$C$7:$C$36,A9,'Cash Receipts'!$D$7:$D$36))</x:f>
        <x:v>43250</x:v>
      </x:c>
      <x:c r="D9" s="489" t="n">
        <x:f>IF(A9="","",SUMIF('Application Detail'!$H$7:$H$36,A9,'Application Detail'!$D$7:$D$36))</x:f>
        <x:v>40650</x:v>
      </x:c>
      <x:c r="E9" s="489" t="n">
        <x:f>IF(A9="","",SUMIF('Cash Receipts'!$C$7:$C$36,A9,'Cash Receipts'!$K$7:$K$36))</x:f>
        <x:v>2600</x:v>
      </x:c>
      <x:c r="F9" s="489" t="n">
        <x:f>IF(A9="","",SUMIF('Invoice Register'!$B$7:$B$36,A9,'Invoice Register'!$I$7:$I$36))</x:f>
        <x:v>0</x:v>
      </x:c>
      <x:c r="G9" s="516" t="n">
        <x:f>IF(A9="","",IFERROR(D9/C9,0))</x:f>
        <x:v>0.9398843930635838</x:v>
      </x:c>
      <x:c r="H9" s="538" t="n">
        <x:f>IF(A9="","",COUNTIFS('Cash Receipts'!$C$7:$C$36,A9,'Cash Receipts'!$M$7:$M$36,"Partially Applied")+COUNTIFS('Cash Receipts'!$C$7:$C$36,A9,'Cash Receipts'!$M$7:$M$36,"Unapplied")+COUNTIFS('Cash Receipts'!$C$7:$C$36,A9,'Cash Receipts'!$M$7:$M$36,"Overapplied")+COUNTIFS('Invoice Register'!$B$7:$B$36,A9,'Invoice Register'!$L$7:$L$36,"Short pay")+COUNTIFS('Invoice Register'!$B$7:$B$36,A9,'Invoice Register'!$L$7:$L$36,"Partial payment")+COUNTIFS('Invoice Register'!$B$7:$B$36,A9,'Invoice Register'!$L$7:$L$36,"No application"))</x:f>
        <x:v>1</x:v>
      </x:c>
      <x:c r="I9" s="529" t="str">
        <x:f>IF(A9="","",IF(OR(E9&gt;=5000,F9&gt;=10000,H9&gt;=2),"High",IF(OR(E9&gt;0,F9&gt;0,H9&gt;0),"Medium","Complete")))</x:f>
        <x:v>Medium</x:v>
      </x:c>
    </x:row>
    <x:row r="10">
      <x:c r="A10" s="537" t="str">
        <x:v>Gulf Coast Manufacturing</x:v>
      </x:c>
      <x:c r="B10" s="489" t="n">
        <x:f>IF(A10="","",SUMIF('Invoice Register'!$B$7:$B$36,A10,'Invoice Register'!$E$7:$E$36))</x:f>
        <x:v>59200</x:v>
      </x:c>
      <x:c r="C10" s="489" t="n">
        <x:f>IF(A10="","",SUMIF('Cash Receipts'!$C$7:$C$36,A10,'Cash Receipts'!$D$7:$D$36))</x:f>
        <x:v>60000</x:v>
      </x:c>
      <x:c r="D10" s="489" t="n">
        <x:f>IF(A10="","",SUMIF('Application Detail'!$H$7:$H$36,A10,'Application Detail'!$D$7:$D$36))</x:f>
        <x:v>59200</x:v>
      </x:c>
      <x:c r="E10" s="489" t="n">
        <x:f>IF(A10="","",SUMIF('Cash Receipts'!$C$7:$C$36,A10,'Cash Receipts'!$K$7:$K$36))</x:f>
        <x:v>800</x:v>
      </x:c>
      <x:c r="F10" s="489" t="n">
        <x:f>IF(A10="","",SUMIF('Invoice Register'!$B$7:$B$36,A10,'Invoice Register'!$I$7:$I$36))</x:f>
        <x:v>0</x:v>
      </x:c>
      <x:c r="G10" s="516" t="n">
        <x:f>IF(A10="","",IFERROR(D10/C10,0))</x:f>
        <x:v>0.9866666666666667</x:v>
      </x:c>
      <x:c r="H10" s="538" t="n">
        <x:f>IF(A10="","",COUNTIFS('Cash Receipts'!$C$7:$C$36,A10,'Cash Receipts'!$M$7:$M$36,"Partially Applied")+COUNTIFS('Cash Receipts'!$C$7:$C$36,A10,'Cash Receipts'!$M$7:$M$36,"Unapplied")+COUNTIFS('Cash Receipts'!$C$7:$C$36,A10,'Cash Receipts'!$M$7:$M$36,"Overapplied")+COUNTIFS('Invoice Register'!$B$7:$B$36,A10,'Invoice Register'!$L$7:$L$36,"Short pay")+COUNTIFS('Invoice Register'!$B$7:$B$36,A10,'Invoice Register'!$L$7:$L$36,"Partial payment")+COUNTIFS('Invoice Register'!$B$7:$B$36,A10,'Invoice Register'!$L$7:$L$36,"No application"))</x:f>
        <x:v>1</x:v>
      </x:c>
      <x:c r="I10" s="529" t="str">
        <x:f>IF(A10="","",IF(OR(E10&gt;=5000,F10&gt;=10000,H10&gt;=2),"High",IF(OR(E10&gt;0,F10&gt;0,H10&gt;0),"Medium","Complete")))</x:f>
        <x:v>Medium</x:v>
      </x:c>
    </x:row>
    <x:row r="11">
      <x:c r="A11" s="537" t="str">
        <x:v>Jefferson Community Care</x:v>
      </x:c>
      <x:c r="B11" s="489" t="n">
        <x:f>IF(A11="","",SUMIF('Invoice Register'!$B$7:$B$36,A11,'Invoice Register'!$E$7:$E$36))</x:f>
        <x:v>26500</x:v>
      </x:c>
      <x:c r="C11" s="489" t="n">
        <x:f>IF(A11="","",SUMIF('Cash Receipts'!$C$7:$C$36,A11,'Cash Receipts'!$D$7:$D$36))</x:f>
        <x:v>0</x:v>
      </x:c>
      <x:c r="D11" s="489" t="n">
        <x:f>IF(A11="","",SUMIF('Application Detail'!$H$7:$H$36,A11,'Application Detail'!$D$7:$D$36))</x:f>
        <x:v>0</x:v>
      </x:c>
      <x:c r="E11" s="489" t="n">
        <x:f>IF(A11="","",SUMIF('Cash Receipts'!$C$7:$C$36,A11,'Cash Receipts'!$K$7:$K$36))</x:f>
        <x:v>0</x:v>
      </x:c>
      <x:c r="F11" s="489" t="n">
        <x:f>IF(A11="","",SUMIF('Invoice Register'!$B$7:$B$36,A11,'Invoice Register'!$I$7:$I$36))</x:f>
        <x:v>26500</x:v>
      </x:c>
      <x:c r="G11" s="516" t="n">
        <x:f>IF(A11="","",IFERROR(D11/C11,0))</x:f>
        <x:v>0</x:v>
      </x:c>
      <x:c r="H11" s="538" t="n">
        <x:f>IF(A11="","",COUNTIFS('Cash Receipts'!$C$7:$C$36,A11,'Cash Receipts'!$M$7:$M$36,"Partially Applied")+COUNTIFS('Cash Receipts'!$C$7:$C$36,A11,'Cash Receipts'!$M$7:$M$36,"Unapplied")+COUNTIFS('Cash Receipts'!$C$7:$C$36,A11,'Cash Receipts'!$M$7:$M$36,"Overapplied")+COUNTIFS('Invoice Register'!$B$7:$B$36,A11,'Invoice Register'!$L$7:$L$36,"Short pay")+COUNTIFS('Invoice Register'!$B$7:$B$36,A11,'Invoice Register'!$L$7:$L$36,"Partial payment")+COUNTIFS('Invoice Register'!$B$7:$B$36,A11,'Invoice Register'!$L$7:$L$36,"No application"))</x:f>
        <x:v>1</x:v>
      </x:c>
      <x:c r="I11" s="529" t="str">
        <x:f>IF(A11="","",IF(OR(E11&gt;=5000,F11&gt;=10000,H11&gt;=2),"High",IF(OR(E11&gt;0,F11&gt;0,H11&gt;0),"Medium","Complete")))</x:f>
        <x:v>High</x:v>
      </x:c>
    </x:row>
    <x:row r="12">
      <x:c r="A12" s="537" t="str">
        <x:v>Evergreen Medical Labs</x:v>
      </x:c>
      <x:c r="B12" s="489" t="n">
        <x:f>IF(A12="","",SUMIF('Invoice Register'!$B$7:$B$36,A12,'Invoice Register'!$E$7:$E$36))</x:f>
        <x:v>14220</x:v>
      </x:c>
      <x:c r="C12" s="489" t="n">
        <x:f>IF(A12="","",SUMIF('Cash Receipts'!$C$7:$C$36,A12,'Cash Receipts'!$D$7:$D$36))</x:f>
        <x:v>10000</x:v>
      </x:c>
      <x:c r="D12" s="489" t="n">
        <x:f>IF(A12="","",SUMIF('Application Detail'!$H$7:$H$36,A12,'Application Detail'!$D$7:$D$36))</x:f>
        <x:v>10000</x:v>
      </x:c>
      <x:c r="E12" s="489" t="n">
        <x:f>IF(A12="","",SUMIF('Cash Receipts'!$C$7:$C$36,A12,'Cash Receipts'!$K$7:$K$36))</x:f>
        <x:v>0</x:v>
      </x:c>
      <x:c r="F12" s="489" t="n">
        <x:f>IF(A12="","",SUMIF('Invoice Register'!$B$7:$B$36,A12,'Invoice Register'!$I$7:$I$36))</x:f>
        <x:v>4220</x:v>
      </x:c>
      <x:c r="G12" s="516" t="n">
        <x:f>IF(A12="","",IFERROR(D12/C12,0))</x:f>
        <x:v>1</x:v>
      </x:c>
      <x:c r="H12" s="538" t="n">
        <x:f>IF(A12="","",COUNTIFS('Cash Receipts'!$C$7:$C$36,A12,'Cash Receipts'!$M$7:$M$36,"Partially Applied")+COUNTIFS('Cash Receipts'!$C$7:$C$36,A12,'Cash Receipts'!$M$7:$M$36,"Unapplied")+COUNTIFS('Cash Receipts'!$C$7:$C$36,A12,'Cash Receipts'!$M$7:$M$36,"Overapplied")+COUNTIFS('Invoice Register'!$B$7:$B$36,A12,'Invoice Register'!$L$7:$L$36,"Short pay")+COUNTIFS('Invoice Register'!$B$7:$B$36,A12,'Invoice Register'!$L$7:$L$36,"Partial payment")+COUNTIFS('Invoice Register'!$B$7:$B$36,A12,'Invoice Register'!$L$7:$L$36,"No application"))</x:f>
        <x:v>1</x:v>
      </x:c>
      <x:c r="I12" s="529" t="str">
        <x:f>IF(A12="","",IF(OR(E12&gt;=5000,F12&gt;=10000,H12&gt;=2),"High",IF(OR(E12&gt;0,F12&gt;0,H12&gt;0),"Medium","Complete")))</x:f>
        <x:v>Medium</x:v>
      </x:c>
    </x:row>
    <x:row r="13">
      <x:c r="A13" s="537" t="str">
        <x:v>Crescent Retail Group</x:v>
      </x:c>
      <x:c r="B13" s="489" t="n">
        <x:f>IF(A13="","",SUMIF('Invoice Register'!$B$7:$B$36,A13,'Invoice Register'!$E$7:$E$36))</x:f>
        <x:v>9600</x:v>
      </x:c>
      <x:c r="C13" s="489" t="n">
        <x:f>IF(A13="","",SUMIF('Cash Receipts'!$C$7:$C$36,A13,'Cash Receipts'!$D$7:$D$36))</x:f>
        <x:v>9500</x:v>
      </x:c>
      <x:c r="D13" s="489" t="n">
        <x:f>IF(A13="","",SUMIF('Application Detail'!$H$7:$H$36,A13,'Application Detail'!$D$7:$D$36))</x:f>
        <x:v>9500</x:v>
      </x:c>
      <x:c r="E13" s="489" t="n">
        <x:f>IF(A13="","",SUMIF('Cash Receipts'!$C$7:$C$36,A13,'Cash Receipts'!$K$7:$K$36))</x:f>
        <x:v>0</x:v>
      </x:c>
      <x:c r="F13" s="489" t="n">
        <x:f>IF(A13="","",SUMIF('Invoice Register'!$B$7:$B$36,A13,'Invoice Register'!$I$7:$I$36))</x:f>
        <x:v>100</x:v>
      </x:c>
      <x:c r="G13" s="516" t="n">
        <x:f>IF(A13="","",IFERROR(D13/C13,0))</x:f>
        <x:v>1</x:v>
      </x:c>
      <x:c r="H13" s="538" t="n">
        <x:f>IF(A13="","",COUNTIFS('Cash Receipts'!$C$7:$C$36,A13,'Cash Receipts'!$M$7:$M$36,"Partially Applied")+COUNTIFS('Cash Receipts'!$C$7:$C$36,A13,'Cash Receipts'!$M$7:$M$36,"Unapplied")+COUNTIFS('Cash Receipts'!$C$7:$C$36,A13,'Cash Receipts'!$M$7:$M$36,"Overapplied")+COUNTIFS('Invoice Register'!$B$7:$B$36,A13,'Invoice Register'!$L$7:$L$36,"Short pay")+COUNTIFS('Invoice Register'!$B$7:$B$36,A13,'Invoice Register'!$L$7:$L$36,"Partial payment")+COUNTIFS('Invoice Register'!$B$7:$B$36,A13,'Invoice Register'!$L$7:$L$36,"No application"))</x:f>
        <x:v>1</x:v>
      </x:c>
      <x:c r="I13" s="529" t="str">
        <x:f>IF(A13="","",IF(OR(E13&gt;=5000,F13&gt;=10000,H13&gt;=2),"High",IF(OR(E13&gt;0,F13&gt;0,H13&gt;0),"Medium","Complete")))</x:f>
        <x:v>Medium</x:v>
      </x:c>
    </x:row>
    <x:row r="14">
      <x:c r="A14" s="537" t="str">
        <x:v>Bayou Industrial Supply</x:v>
      </x:c>
      <x:c r="B14" s="489" t="n">
        <x:f>IF(A14="","",SUMIF('Invoice Register'!$B$7:$B$36,A14,'Invoice Register'!$E$7:$E$36))</x:f>
        <x:v>31750</x:v>
      </x:c>
      <x:c r="C14" s="489" t="n">
        <x:f>IF(A14="","",SUMIF('Cash Receipts'!$C$7:$C$36,A14,'Cash Receipts'!$D$7:$D$36))</x:f>
        <x:v>31750</x:v>
      </x:c>
      <x:c r="D14" s="489" t="n">
        <x:f>IF(A14="","",SUMIF('Application Detail'!$H$7:$H$36,A14,'Application Detail'!$D$7:$D$36))</x:f>
        <x:v>31750</x:v>
      </x:c>
      <x:c r="E14" s="489" t="n">
        <x:f>IF(A14="","",SUMIF('Cash Receipts'!$C$7:$C$36,A14,'Cash Receipts'!$K$7:$K$36))</x:f>
        <x:v>0</x:v>
      </x:c>
      <x:c r="F14" s="489" t="n">
        <x:f>IF(A14="","",SUMIF('Invoice Register'!$B$7:$B$36,A14,'Invoice Register'!$I$7:$I$36))</x:f>
        <x:v>0</x:v>
      </x:c>
      <x:c r="G14" s="516" t="n">
        <x:f>IF(A14="","",IFERROR(D14/C14,0))</x:f>
        <x:v>1</x:v>
      </x:c>
      <x:c r="H14" s="538" t="n">
        <x:f>IF(A14="","",COUNTIFS('Cash Receipts'!$C$7:$C$36,A14,'Cash Receipts'!$M$7:$M$36,"Partially Applied")+COUNTIFS('Cash Receipts'!$C$7:$C$36,A14,'Cash Receipts'!$M$7:$M$36,"Unapplied")+COUNTIFS('Cash Receipts'!$C$7:$C$36,A14,'Cash Receipts'!$M$7:$M$36,"Overapplied")+COUNTIFS('Invoice Register'!$B$7:$B$36,A14,'Invoice Register'!$L$7:$L$36,"Short pay")+COUNTIFS('Invoice Register'!$B$7:$B$36,A14,'Invoice Register'!$L$7:$L$36,"Partial payment")+COUNTIFS('Invoice Register'!$B$7:$B$36,A14,'Invoice Register'!$L$7:$L$36,"No application"))</x:f>
        <x:v>0</x:v>
      </x:c>
      <x:c r="I14" s="529" t="str">
        <x:f>IF(A14="","",IF(OR(E14&gt;=5000,F14&gt;=10000,H14&gt;=2),"High",IF(OR(E14&gt;0,F14&gt;0,H14&gt;0),"Medium","Complete")))</x:f>
        <x:v>Complete</x:v>
      </x:c>
    </x:row>
    <x:row r="15">
      <x:c r="A15" s="537" t="str">
        <x:v>Delta Municipal Services</x:v>
      </x:c>
      <x:c r="B15" s="489" t="n">
        <x:f>IF(A15="","",SUMIF('Invoice Register'!$B$7:$B$36,A15,'Invoice Register'!$E$7:$E$36))</x:f>
        <x:v>48120</x:v>
      </x:c>
      <x:c r="C15" s="489" t="n">
        <x:f>IF(A15="","",SUMIF('Cash Receipts'!$C$7:$C$36,A15,'Cash Receipts'!$D$7:$D$36))</x:f>
        <x:v>48120</x:v>
      </x:c>
      <x:c r="D15" s="489" t="n">
        <x:f>IF(A15="","",SUMIF('Application Detail'!$H$7:$H$36,A15,'Application Detail'!$D$7:$D$36))</x:f>
        <x:v>48120</x:v>
      </x:c>
      <x:c r="E15" s="489" t="n">
        <x:f>IF(A15="","",SUMIF('Cash Receipts'!$C$7:$C$36,A15,'Cash Receipts'!$K$7:$K$36))</x:f>
        <x:v>0</x:v>
      </x:c>
      <x:c r="F15" s="489" t="n">
        <x:f>IF(A15="","",SUMIF('Invoice Register'!$B$7:$B$36,A15,'Invoice Register'!$I$7:$I$36))</x:f>
        <x:v>0</x:v>
      </x:c>
      <x:c r="G15" s="516" t="n">
        <x:f>IF(A15="","",IFERROR(D15/C15,0))</x:f>
        <x:v>1</x:v>
      </x:c>
      <x:c r="H15" s="538" t="n">
        <x:f>IF(A15="","",COUNTIFS('Cash Receipts'!$C$7:$C$36,A15,'Cash Receipts'!$M$7:$M$36,"Partially Applied")+COUNTIFS('Cash Receipts'!$C$7:$C$36,A15,'Cash Receipts'!$M$7:$M$36,"Unapplied")+COUNTIFS('Cash Receipts'!$C$7:$C$36,A15,'Cash Receipts'!$M$7:$M$36,"Overapplied")+COUNTIFS('Invoice Register'!$B$7:$B$36,A15,'Invoice Register'!$L$7:$L$36,"Short pay")+COUNTIFS('Invoice Register'!$B$7:$B$36,A15,'Invoice Register'!$L$7:$L$36,"Partial payment")+COUNTIFS('Invoice Register'!$B$7:$B$36,A15,'Invoice Register'!$L$7:$L$36,"No application"))</x:f>
        <x:v>0</x:v>
      </x:c>
      <x:c r="I15" s="529" t="str">
        <x:f>IF(A15="","",IF(OR(E15&gt;=5000,F15&gt;=10000,H15&gt;=2),"High",IF(OR(E15&gt;0,F15&gt;0,H15&gt;0),"Medium","Complete")))</x:f>
        <x:v>Complete</x:v>
      </x:c>
    </x:row>
    <x:row r="16">
      <x:c r="A16" s="537" t="str">
        <x:v>Frontier Logistics</x:v>
      </x:c>
      <x:c r="B16" s="489" t="n">
        <x:f>IF(A16="","",SUMIF('Invoice Register'!$B$7:$B$36,A16,'Invoice Register'!$E$7:$E$36))</x:f>
        <x:v>12500</x:v>
      </x:c>
      <x:c r="C16" s="489" t="n">
        <x:f>IF(A16="","",SUMIF('Cash Receipts'!$C$7:$C$36,A16,'Cash Receipts'!$D$7:$D$36))</x:f>
        <x:v>12500</x:v>
      </x:c>
      <x:c r="D16" s="489" t="n">
        <x:f>IF(A16="","",SUMIF('Application Detail'!$H$7:$H$36,A16,'Application Detail'!$D$7:$D$36))</x:f>
        <x:v>12500</x:v>
      </x:c>
      <x:c r="E16" s="489" t="n">
        <x:f>IF(A16="","",SUMIF('Cash Receipts'!$C$7:$C$36,A16,'Cash Receipts'!$K$7:$K$36))</x:f>
        <x:v>0</x:v>
      </x:c>
      <x:c r="F16" s="489" t="n">
        <x:f>IF(A16="","",SUMIF('Invoice Register'!$B$7:$B$36,A16,'Invoice Register'!$I$7:$I$36))</x:f>
        <x:v>0</x:v>
      </x:c>
      <x:c r="G16" s="516" t="n">
        <x:f>IF(A16="","",IFERROR(D16/C16,0))</x:f>
        <x:v>1</x:v>
      </x:c>
      <x:c r="H16" s="538" t="n">
        <x:f>IF(A16="","",COUNTIFS('Cash Receipts'!$C$7:$C$36,A16,'Cash Receipts'!$M$7:$M$36,"Partially Applied")+COUNTIFS('Cash Receipts'!$C$7:$C$36,A16,'Cash Receipts'!$M$7:$M$36,"Unapplied")+COUNTIFS('Cash Receipts'!$C$7:$C$36,A16,'Cash Receipts'!$M$7:$M$36,"Overapplied")+COUNTIFS('Invoice Register'!$B$7:$B$36,A16,'Invoice Register'!$L$7:$L$36,"Short pay")+COUNTIFS('Invoice Register'!$B$7:$B$36,A16,'Invoice Register'!$L$7:$L$36,"Partial payment")+COUNTIFS('Invoice Register'!$B$7:$B$36,A16,'Invoice Register'!$L$7:$L$36,"No application"))</x:f>
        <x:v>0</x:v>
      </x:c>
      <x:c r="I16" s="529" t="str">
        <x:f>IF(A16="","",IF(OR(E16&gt;=5000,F16&gt;=10000,H16&gt;=2),"High",IF(OR(E16&gt;0,F16&gt;0,H16&gt;0),"Medium","Complete")))</x:f>
        <x:v>Complete</x:v>
      </x:c>
    </x:row>
    <x:row r="17">
      <x:c r="A17" s="537" t="str">
        <x:v>Harbor Energy Co.</x:v>
      </x:c>
      <x:c r="B17" s="489" t="n">
        <x:f>IF(A17="","",SUMIF('Invoice Register'!$B$7:$B$36,A17,'Invoice Register'!$E$7:$E$36))</x:f>
        <x:v>8800</x:v>
      </x:c>
      <x:c r="C17" s="489" t="n">
        <x:f>IF(A17="","",SUMIF('Cash Receipts'!$C$7:$C$36,A17,'Cash Receipts'!$D$7:$D$36))</x:f>
        <x:v>8800</x:v>
      </x:c>
      <x:c r="D17" s="489" t="n">
        <x:f>IF(A17="","",SUMIF('Application Detail'!$H$7:$H$36,A17,'Application Detail'!$D$7:$D$36))</x:f>
        <x:v>8800</x:v>
      </x:c>
      <x:c r="E17" s="489" t="n">
        <x:f>IF(A17="","",SUMIF('Cash Receipts'!$C$7:$C$36,A17,'Cash Receipts'!$K$7:$K$36))</x:f>
        <x:v>0</x:v>
      </x:c>
      <x:c r="F17" s="489" t="n">
        <x:f>IF(A17="","",SUMIF('Invoice Register'!$B$7:$B$36,A17,'Invoice Register'!$I$7:$I$36))</x:f>
        <x:v>0</x:v>
      </x:c>
      <x:c r="G17" s="516" t="n">
        <x:f>IF(A17="","",IFERROR(D17/C17,0))</x:f>
        <x:v>1</x:v>
      </x:c>
      <x:c r="H17" s="538" t="n">
        <x:f>IF(A17="","",COUNTIFS('Cash Receipts'!$C$7:$C$36,A17,'Cash Receipts'!$M$7:$M$36,"Partially Applied")+COUNTIFS('Cash Receipts'!$C$7:$C$36,A17,'Cash Receipts'!$M$7:$M$36,"Unapplied")+COUNTIFS('Cash Receipts'!$C$7:$C$36,A17,'Cash Receipts'!$M$7:$M$36,"Overapplied")+COUNTIFS('Invoice Register'!$B$7:$B$36,A17,'Invoice Register'!$L$7:$L$36,"Short pay")+COUNTIFS('Invoice Register'!$B$7:$B$36,A17,'Invoice Register'!$L$7:$L$36,"Partial payment")+COUNTIFS('Invoice Register'!$B$7:$B$36,A17,'Invoice Register'!$L$7:$L$36,"No application"))</x:f>
        <x:v>0</x:v>
      </x:c>
      <x:c r="I17" s="529" t="str">
        <x:f>IF(A17="","",IF(OR(E17&gt;=5000,F17&gt;=10000,H17&gt;=2),"High",IF(OR(E17&gt;0,F17&gt;0,H17&gt;0),"Medium","Complete")))</x:f>
        <x:v>Complete</x:v>
      </x:c>
    </x:row>
    <x:row r="18">
      <x:c r="A18" s="537" t="str">
        <x:v>North Delta Equipment</x:v>
      </x:c>
      <x:c r="B18" s="489" t="n">
        <x:f>IF(A18="","",SUMIF('Invoice Register'!$B$7:$B$36,A18,'Invoice Register'!$E$7:$E$36))</x:f>
        <x:v>13450</x:v>
      </x:c>
      <x:c r="C18" s="489" t="n">
        <x:f>IF(A18="","",SUMIF('Cash Receipts'!$C$7:$C$36,A18,'Cash Receipts'!$D$7:$D$36))</x:f>
        <x:v>13450</x:v>
      </x:c>
      <x:c r="D18" s="489" t="n">
        <x:f>IF(A18="","",SUMIF('Application Detail'!$H$7:$H$36,A18,'Application Detail'!$D$7:$D$36))</x:f>
        <x:v>13450</x:v>
      </x:c>
      <x:c r="E18" s="489" t="n">
        <x:f>IF(A18="","",SUMIF('Cash Receipts'!$C$7:$C$36,A18,'Cash Receipts'!$K$7:$K$36))</x:f>
        <x:v>0</x:v>
      </x:c>
      <x:c r="F18" s="489" t="n">
        <x:f>IF(A18="","",SUMIF('Invoice Register'!$B$7:$B$36,A18,'Invoice Register'!$I$7:$I$36))</x:f>
        <x:v>0</x:v>
      </x:c>
      <x:c r="G18" s="516" t="n">
        <x:f>IF(A18="","",IFERROR(D18/C18,0))</x:f>
        <x:v>1</x:v>
      </x:c>
      <x:c r="H18" s="538" t="n">
        <x:f>IF(A18="","",COUNTIFS('Cash Receipts'!$C$7:$C$36,A18,'Cash Receipts'!$M$7:$M$36,"Partially Applied")+COUNTIFS('Cash Receipts'!$C$7:$C$36,A18,'Cash Receipts'!$M$7:$M$36,"Unapplied")+COUNTIFS('Cash Receipts'!$C$7:$C$36,A18,'Cash Receipts'!$M$7:$M$36,"Overapplied")+COUNTIFS('Invoice Register'!$B$7:$B$36,A18,'Invoice Register'!$L$7:$L$36,"Short pay")+COUNTIFS('Invoice Register'!$B$7:$B$36,A18,'Invoice Register'!$L$7:$L$36,"Partial payment")+COUNTIFS('Invoice Register'!$B$7:$B$36,A18,'Invoice Register'!$L$7:$L$36,"No application"))</x:f>
        <x:v>0</x:v>
      </x:c>
      <x:c r="I18" s="529" t="str">
        <x:f>IF(A18="","",IF(OR(E18&gt;=5000,F18&gt;=10000,H18&gt;=2),"High",IF(OR(E18&gt;0,F18&gt;0,H18&gt;0),"Medium","Complete")))</x:f>
        <x:v>Complete</x:v>
      </x:c>
    </x:row>
    <x:row r="19">
      <x:c r="A19" s="537"/>
      <x:c r="B19" s="489" t="str">
        <x:f>IF(A19="","",SUMIF('Invoice Register'!$B$7:$B$36,A19,'Invoice Register'!$E$7:$E$36))</x:f>
      </x:c>
      <x:c r="C19" s="489" t="str">
        <x:f>IF(A19="","",SUMIF('Cash Receipts'!$C$7:$C$36,A19,'Cash Receipts'!$D$7:$D$36))</x:f>
      </x:c>
      <x:c r="D19" s="489" t="str">
        <x:f>IF(A19="","",SUMIF('Application Detail'!$H$7:$H$36,A19,'Application Detail'!$D$7:$D$36))</x:f>
      </x:c>
      <x:c r="E19" s="489" t="str">
        <x:f>IF(A19="","",SUMIF('Cash Receipts'!$C$7:$C$36,A19,'Cash Receipts'!$K$7:$K$36))</x:f>
      </x:c>
      <x:c r="F19" s="489" t="str">
        <x:f>IF(A19="","",SUMIF('Invoice Register'!$B$7:$B$36,A19,'Invoice Register'!$I$7:$I$36))</x:f>
      </x:c>
      <x:c r="G19" s="516" t="str">
        <x:f>IF(A19="","",IFERROR(D19/C19,0))</x:f>
      </x:c>
      <x:c r="H19" s="538" t="str">
        <x:f>IF(A19="","",COUNTIFS('Cash Receipts'!$C$7:$C$36,A19,'Cash Receipts'!$M$7:$M$36,"Partially Applied")+COUNTIFS('Cash Receipts'!$C$7:$C$36,A19,'Cash Receipts'!$M$7:$M$36,"Unapplied")+COUNTIFS('Cash Receipts'!$C$7:$C$36,A19,'Cash Receipts'!$M$7:$M$36,"Overapplied")+COUNTIFS('Invoice Register'!$B$7:$B$36,A19,'Invoice Register'!$L$7:$L$36,"Short pay")+COUNTIFS('Invoice Register'!$B$7:$B$36,A19,'Invoice Register'!$L$7:$L$36,"Partial payment")+COUNTIFS('Invoice Register'!$B$7:$B$36,A19,'Invoice Register'!$L$7:$L$36,"No application"))</x:f>
      </x:c>
      <x:c r="I19" s="529" t="str">
        <x:f>IF(A19="","",IF(OR(E19&gt;=5000,F19&gt;=10000,H19&gt;=2),"High",IF(OR(E19&gt;0,F19&gt;0,H19&gt;0),"Medium","Complete")))</x:f>
      </x:c>
    </x:row>
    <x:row r="20">
      <x:c r="A20" s="537"/>
      <x:c r="B20" s="489" t="str">
        <x:f>IF(A20="","",SUMIF('Invoice Register'!$B$7:$B$36,A20,'Invoice Register'!$E$7:$E$36))</x:f>
      </x:c>
      <x:c r="C20" s="489" t="str">
        <x:f>IF(A20="","",SUMIF('Cash Receipts'!$C$7:$C$36,A20,'Cash Receipts'!$D$7:$D$36))</x:f>
      </x:c>
      <x:c r="D20" s="489" t="str">
        <x:f>IF(A20="","",SUMIF('Application Detail'!$H$7:$H$36,A20,'Application Detail'!$D$7:$D$36))</x:f>
      </x:c>
      <x:c r="E20" s="489" t="str">
        <x:f>IF(A20="","",SUMIF('Cash Receipts'!$C$7:$C$36,A20,'Cash Receipts'!$K$7:$K$36))</x:f>
      </x:c>
      <x:c r="F20" s="489" t="str">
        <x:f>IF(A20="","",SUMIF('Invoice Register'!$B$7:$B$36,A20,'Invoice Register'!$I$7:$I$36))</x:f>
      </x:c>
      <x:c r="G20" s="516" t="str">
        <x:f>IF(A20="","",IFERROR(D20/C20,0))</x:f>
      </x:c>
      <x:c r="H20" s="538" t="str">
        <x:f>IF(A20="","",COUNTIFS('Cash Receipts'!$C$7:$C$36,A20,'Cash Receipts'!$M$7:$M$36,"Partially Applied")+COUNTIFS('Cash Receipts'!$C$7:$C$36,A20,'Cash Receipts'!$M$7:$M$36,"Unapplied")+COUNTIFS('Cash Receipts'!$C$7:$C$36,A20,'Cash Receipts'!$M$7:$M$36,"Overapplied")+COUNTIFS('Invoice Register'!$B$7:$B$36,A20,'Invoice Register'!$L$7:$L$36,"Short pay")+COUNTIFS('Invoice Register'!$B$7:$B$36,A20,'Invoice Register'!$L$7:$L$36,"Partial payment")+COUNTIFS('Invoice Register'!$B$7:$B$36,A20,'Invoice Register'!$L$7:$L$36,"No application"))</x:f>
      </x:c>
      <x:c r="I20" s="529" t="str">
        <x:f>IF(A20="","",IF(OR(E20&gt;=5000,F20&gt;=10000,H20&gt;=2),"High",IF(OR(E20&gt;0,F20&gt;0,H20&gt;0),"Medium","Complete")))</x:f>
      </x:c>
    </x:row>
    <x:row r="21">
      <x:c r="A21" s="537"/>
      <x:c r="B21" s="489" t="str">
        <x:f>IF(A21="","",SUMIF('Invoice Register'!$B$7:$B$36,A21,'Invoice Register'!$E$7:$E$36))</x:f>
      </x:c>
      <x:c r="C21" s="489" t="str">
        <x:f>IF(A21="","",SUMIF('Cash Receipts'!$C$7:$C$36,A21,'Cash Receipts'!$D$7:$D$36))</x:f>
      </x:c>
      <x:c r="D21" s="489" t="str">
        <x:f>IF(A21="","",SUMIF('Application Detail'!$H$7:$H$36,A21,'Application Detail'!$D$7:$D$36))</x:f>
      </x:c>
      <x:c r="E21" s="489" t="str">
        <x:f>IF(A21="","",SUMIF('Cash Receipts'!$C$7:$C$36,A21,'Cash Receipts'!$K$7:$K$36))</x:f>
      </x:c>
      <x:c r="F21" s="489" t="str">
        <x:f>IF(A21="","",SUMIF('Invoice Register'!$B$7:$B$36,A21,'Invoice Register'!$I$7:$I$36))</x:f>
      </x:c>
      <x:c r="G21" s="516" t="str">
        <x:f>IF(A21="","",IFERROR(D21/C21,0))</x:f>
      </x:c>
      <x:c r="H21" s="538" t="str">
        <x:f>IF(A21="","",COUNTIFS('Cash Receipts'!$C$7:$C$36,A21,'Cash Receipts'!$M$7:$M$36,"Partially Applied")+COUNTIFS('Cash Receipts'!$C$7:$C$36,A21,'Cash Receipts'!$M$7:$M$36,"Unapplied")+COUNTIFS('Cash Receipts'!$C$7:$C$36,A21,'Cash Receipts'!$M$7:$M$36,"Overapplied")+COUNTIFS('Invoice Register'!$B$7:$B$36,A21,'Invoice Register'!$L$7:$L$36,"Short pay")+COUNTIFS('Invoice Register'!$B$7:$B$36,A21,'Invoice Register'!$L$7:$L$36,"Partial payment")+COUNTIFS('Invoice Register'!$B$7:$B$36,A21,'Invoice Register'!$L$7:$L$36,"No application"))</x:f>
      </x:c>
      <x:c r="I21" s="529" t="str">
        <x:f>IF(A21="","",IF(OR(E21&gt;=5000,F21&gt;=10000,H21&gt;=2),"High",IF(OR(E21&gt;0,F21&gt;0,H21&gt;0),"Medium","Complete")))</x:f>
      </x:c>
    </x:row>
    <x:row r="22">
      <x:c r="A22" s="537"/>
      <x:c r="B22" s="489" t="str">
        <x:f>IF(A22="","",SUMIF('Invoice Register'!$B$7:$B$36,A22,'Invoice Register'!$E$7:$E$36))</x:f>
      </x:c>
      <x:c r="C22" s="489" t="str">
        <x:f>IF(A22="","",SUMIF('Cash Receipts'!$C$7:$C$36,A22,'Cash Receipts'!$D$7:$D$36))</x:f>
      </x:c>
      <x:c r="D22" s="489" t="str">
        <x:f>IF(A22="","",SUMIF('Application Detail'!$H$7:$H$36,A22,'Application Detail'!$D$7:$D$36))</x:f>
      </x:c>
      <x:c r="E22" s="489" t="str">
        <x:f>IF(A22="","",SUMIF('Cash Receipts'!$C$7:$C$36,A22,'Cash Receipts'!$K$7:$K$36))</x:f>
      </x:c>
      <x:c r="F22" s="489" t="str">
        <x:f>IF(A22="","",SUMIF('Invoice Register'!$B$7:$B$36,A22,'Invoice Register'!$I$7:$I$36))</x:f>
      </x:c>
      <x:c r="G22" s="516" t="str">
        <x:f>IF(A22="","",IFERROR(D22/C22,0))</x:f>
      </x:c>
      <x:c r="H22" s="538" t="str">
        <x:f>IF(A22="","",COUNTIFS('Cash Receipts'!$C$7:$C$36,A22,'Cash Receipts'!$M$7:$M$36,"Partially Applied")+COUNTIFS('Cash Receipts'!$C$7:$C$36,A22,'Cash Receipts'!$M$7:$M$36,"Unapplied")+COUNTIFS('Cash Receipts'!$C$7:$C$36,A22,'Cash Receipts'!$M$7:$M$36,"Overapplied")+COUNTIFS('Invoice Register'!$B$7:$B$36,A22,'Invoice Register'!$L$7:$L$36,"Short pay")+COUNTIFS('Invoice Register'!$B$7:$B$36,A22,'Invoice Register'!$L$7:$L$36,"Partial payment")+COUNTIFS('Invoice Register'!$B$7:$B$36,A22,'Invoice Register'!$L$7:$L$36,"No application"))</x:f>
      </x:c>
      <x:c r="I22" s="529" t="str">
        <x:f>IF(A22="","",IF(OR(E22&gt;=5000,F22&gt;=10000,H22&gt;=2),"High",IF(OR(E22&gt;0,F22&gt;0,H22&gt;0),"Medium","Complete")))</x:f>
      </x:c>
    </x:row>
    <x:row r="23">
      <x:c r="A23" s="537"/>
      <x:c r="B23" s="489" t="str">
        <x:f>IF(A23="","",SUMIF('Invoice Register'!$B$7:$B$36,A23,'Invoice Register'!$E$7:$E$36))</x:f>
      </x:c>
      <x:c r="C23" s="489" t="str">
        <x:f>IF(A23="","",SUMIF('Cash Receipts'!$C$7:$C$36,A23,'Cash Receipts'!$D$7:$D$36))</x:f>
      </x:c>
      <x:c r="D23" s="489" t="str">
        <x:f>IF(A23="","",SUMIF('Application Detail'!$H$7:$H$36,A23,'Application Detail'!$D$7:$D$36))</x:f>
      </x:c>
      <x:c r="E23" s="489" t="str">
        <x:f>IF(A23="","",SUMIF('Cash Receipts'!$C$7:$C$36,A23,'Cash Receipts'!$K$7:$K$36))</x:f>
      </x:c>
      <x:c r="F23" s="489" t="str">
        <x:f>IF(A23="","",SUMIF('Invoice Register'!$B$7:$B$36,A23,'Invoice Register'!$I$7:$I$36))</x:f>
      </x:c>
      <x:c r="G23" s="516" t="str">
        <x:f>IF(A23="","",IFERROR(D23/C23,0))</x:f>
      </x:c>
      <x:c r="H23" s="538" t="str">
        <x:f>IF(A23="","",COUNTIFS('Cash Receipts'!$C$7:$C$36,A23,'Cash Receipts'!$M$7:$M$36,"Partially Applied")+COUNTIFS('Cash Receipts'!$C$7:$C$36,A23,'Cash Receipts'!$M$7:$M$36,"Unapplied")+COUNTIFS('Cash Receipts'!$C$7:$C$36,A23,'Cash Receipts'!$M$7:$M$36,"Overapplied")+COUNTIFS('Invoice Register'!$B$7:$B$36,A23,'Invoice Register'!$L$7:$L$36,"Short pay")+COUNTIFS('Invoice Register'!$B$7:$B$36,A23,'Invoice Register'!$L$7:$L$36,"Partial payment")+COUNTIFS('Invoice Register'!$B$7:$B$36,A23,'Invoice Register'!$L$7:$L$36,"No application"))</x:f>
      </x:c>
      <x:c r="I23" s="529" t="str">
        <x:f>IF(A23="","",IF(OR(E23&gt;=5000,F23&gt;=10000,H23&gt;=2),"High",IF(OR(E23&gt;0,F23&gt;0,H23&gt;0),"Medium","Complete")))</x:f>
      </x:c>
    </x:row>
    <x:row r="24">
      <x:c r="A24" s="537"/>
      <x:c r="B24" s="489" t="str">
        <x:f>IF(A24="","",SUMIF('Invoice Register'!$B$7:$B$36,A24,'Invoice Register'!$E$7:$E$36))</x:f>
      </x:c>
      <x:c r="C24" s="489" t="str">
        <x:f>IF(A24="","",SUMIF('Cash Receipts'!$C$7:$C$36,A24,'Cash Receipts'!$D$7:$D$36))</x:f>
      </x:c>
      <x:c r="D24" s="489" t="str">
        <x:f>IF(A24="","",SUMIF('Application Detail'!$H$7:$H$36,A24,'Application Detail'!$D$7:$D$36))</x:f>
      </x:c>
      <x:c r="E24" s="489" t="str">
        <x:f>IF(A24="","",SUMIF('Cash Receipts'!$C$7:$C$36,A24,'Cash Receipts'!$K$7:$K$36))</x:f>
      </x:c>
      <x:c r="F24" s="489" t="str">
        <x:f>IF(A24="","",SUMIF('Invoice Register'!$B$7:$B$36,A24,'Invoice Register'!$I$7:$I$36))</x:f>
      </x:c>
      <x:c r="G24" s="516" t="str">
        <x:f>IF(A24="","",IFERROR(D24/C24,0))</x:f>
      </x:c>
      <x:c r="H24" s="538" t="str">
        <x:f>IF(A24="","",COUNTIFS('Cash Receipts'!$C$7:$C$36,A24,'Cash Receipts'!$M$7:$M$36,"Partially Applied")+COUNTIFS('Cash Receipts'!$C$7:$C$36,A24,'Cash Receipts'!$M$7:$M$36,"Unapplied")+COUNTIFS('Cash Receipts'!$C$7:$C$36,A24,'Cash Receipts'!$M$7:$M$36,"Overapplied")+COUNTIFS('Invoice Register'!$B$7:$B$36,A24,'Invoice Register'!$L$7:$L$36,"Short pay")+COUNTIFS('Invoice Register'!$B$7:$B$36,A24,'Invoice Register'!$L$7:$L$36,"Partial payment")+COUNTIFS('Invoice Register'!$B$7:$B$36,A24,'Invoice Register'!$L$7:$L$36,"No application"))</x:f>
      </x:c>
      <x:c r="I24" s="529" t="str">
        <x:f>IF(A24="","",IF(OR(E24&gt;=5000,F24&gt;=10000,H24&gt;=2),"High",IF(OR(E24&gt;0,F24&gt;0,H24&gt;0),"Medium","Complete")))</x:f>
      </x:c>
    </x:row>
    <x:row r="25">
      <x:c r="A25" s="537"/>
      <x:c r="B25" s="489" t="str">
        <x:f>IF(A25="","",SUMIF('Invoice Register'!$B$7:$B$36,A25,'Invoice Register'!$E$7:$E$36))</x:f>
      </x:c>
      <x:c r="C25" s="489" t="str">
        <x:f>IF(A25="","",SUMIF('Cash Receipts'!$C$7:$C$36,A25,'Cash Receipts'!$D$7:$D$36))</x:f>
      </x:c>
      <x:c r="D25" s="489" t="str">
        <x:f>IF(A25="","",SUMIF('Application Detail'!$H$7:$H$36,A25,'Application Detail'!$D$7:$D$36))</x:f>
      </x:c>
      <x:c r="E25" s="489" t="str">
        <x:f>IF(A25="","",SUMIF('Cash Receipts'!$C$7:$C$36,A25,'Cash Receipts'!$K$7:$K$36))</x:f>
      </x:c>
      <x:c r="F25" s="489" t="str">
        <x:f>IF(A25="","",SUMIF('Invoice Register'!$B$7:$B$36,A25,'Invoice Register'!$I$7:$I$36))</x:f>
      </x:c>
      <x:c r="G25" s="516" t="str">
        <x:f>IF(A25="","",IFERROR(D25/C25,0))</x:f>
      </x:c>
      <x:c r="H25" s="538" t="str">
        <x:f>IF(A25="","",COUNTIFS('Cash Receipts'!$C$7:$C$36,A25,'Cash Receipts'!$M$7:$M$36,"Partially Applied")+COUNTIFS('Cash Receipts'!$C$7:$C$36,A25,'Cash Receipts'!$M$7:$M$36,"Unapplied")+COUNTIFS('Cash Receipts'!$C$7:$C$36,A25,'Cash Receipts'!$M$7:$M$36,"Overapplied")+COUNTIFS('Invoice Register'!$B$7:$B$36,A25,'Invoice Register'!$L$7:$L$36,"Short pay")+COUNTIFS('Invoice Register'!$B$7:$B$36,A25,'Invoice Register'!$L$7:$L$36,"Partial payment")+COUNTIFS('Invoice Register'!$B$7:$B$36,A25,'Invoice Register'!$L$7:$L$36,"No application"))</x:f>
      </x:c>
      <x:c r="I25" s="529" t="str">
        <x:f>IF(A25="","",IF(OR(E25&gt;=5000,F25&gt;=10000,H25&gt;=2),"High",IF(OR(E25&gt;0,F25&gt;0,H25&gt;0),"Medium","Complete")))</x:f>
      </x:c>
    </x:row>
    <x:row r="26">
      <x:c r="A26" s="539"/>
      <x:c r="B26" s="498" t="str">
        <x:f>IF(A26="","",SUMIF('Invoice Register'!$B$7:$B$36,A26,'Invoice Register'!$E$7:$E$36))</x:f>
      </x:c>
      <x:c r="C26" s="498" t="str">
        <x:f>IF(A26="","",SUMIF('Cash Receipts'!$C$7:$C$36,A26,'Cash Receipts'!$D$7:$D$36))</x:f>
      </x:c>
      <x:c r="D26" s="498" t="str">
        <x:f>IF(A26="","",SUMIF('Application Detail'!$H$7:$H$36,A26,'Application Detail'!$D$7:$D$36))</x:f>
      </x:c>
      <x:c r="E26" s="498" t="str">
        <x:f>IF(A26="","",SUMIF('Cash Receipts'!$C$7:$C$36,A26,'Cash Receipts'!$K$7:$K$36))</x:f>
      </x:c>
      <x:c r="F26" s="498" t="str">
        <x:f>IF(A26="","",SUMIF('Invoice Register'!$B$7:$B$36,A26,'Invoice Register'!$I$7:$I$36))</x:f>
      </x:c>
      <x:c r="G26" s="522" t="str">
        <x:f>IF(A26="","",IFERROR(D26/C26,0))</x:f>
      </x:c>
      <x:c r="H26" s="540" t="str">
        <x:f>IF(A26="","",COUNTIFS('Cash Receipts'!$C$7:$C$36,A26,'Cash Receipts'!$M$7:$M$36,"Partially Applied")+COUNTIFS('Cash Receipts'!$C$7:$C$36,A26,'Cash Receipts'!$M$7:$M$36,"Unapplied")+COUNTIFS('Cash Receipts'!$C$7:$C$36,A26,'Cash Receipts'!$M$7:$M$36,"Overapplied")+COUNTIFS('Invoice Register'!$B$7:$B$36,A26,'Invoice Register'!$L$7:$L$36,"Short pay")+COUNTIFS('Invoice Register'!$B$7:$B$36,A26,'Invoice Register'!$L$7:$L$36,"Partial payment")+COUNTIFS('Invoice Register'!$B$7:$B$36,A26,'Invoice Register'!$L$7:$L$36,"No application"))</x:f>
      </x:c>
      <x:c r="I26" s="531" t="str">
        <x:f>IF(A26="","",IF(OR(E26&gt;=5000,F26&gt;=10000,H26&gt;=2),"High",IF(OR(E26&gt;0,F26&gt;0,H26&gt;0),"Medium","Complete")))</x:f>
      </x:c>
    </x:row>
  </x:sheetData>
  <x:mergeCells>
    <x:mergeCell ref="A1:I2"/>
    <x:mergeCell ref="A3:I3"/>
    <x:mergeCell ref="A4:I4"/>
  </x:mergeCells>
  <x:conditionalFormatting sqref="E7:E26">
    <x:cfRule type="dataBar" priority="1">
      <x:dataBar>
        <x:cfvo type="min"/>
        <x:cfvo type="max"/>
        <x:color rgb="FFC63D3D"/>
      </x:dataBar>
      <x:extLst>
        <x:ext xmlns:x14="http://schemas.microsoft.com/office/spreadsheetml/2009/9/main" uri="{B025F937-C7B1-47D3-B67F-A62EFF666E3E}">
          <x14:id>{EEAE1191-BEF4-174C-A0E7-66CF8F506F34}</x14:id>
        </x:ext>
      </x:extLst>
    </x:cfRule>
  </x:conditionalFormatting>
  <x:conditionalFormatting sqref="I7:I26">
    <x:cfRule type="containsText" dxfId="12" priority="2" operator="containsText" text="High"/>
    <x:cfRule type="containsText" dxfId="13" priority="3" operator="containsText" text="Medium"/>
    <x:cfRule type="containsText" dxfId="14" priority="4" operator="containsText" text="Complete"/>
  </x:conditionalFormatting>
  <x:pageMargins left="0.7" right="0.7" top="0.75" bottom="0.75" header="0.3" footer="0.3"/>
  <x:tableParts count="1">
    <x:tablePart xmlns:r="http://schemas.openxmlformats.org/officeDocument/2006/relationships" r:id="Ra8325380b5c34d6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EAE1191-BEF4-174C-A0E7-66CF8F506F34}">
            <x14:dataBar gradient="1">
              <x14:cfvo type="min"/>
              <x14:cfvo type="max"/>
              <x14:fillColor rgb="FFC63D3D"/>
            </x14:dataBar>
          </x14:cfRule>
          <xm:sqref>E7:E26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9" hidden="0" customWidth="1"/>
    <x:col min="4" max="4" width="28" hidden="0" customWidth="1"/>
    <x:col min="5" max="5" width="68" hidden="0" customWidth="1"/>
    <x:col min="6" max="6" width="40" hidden="0" customWidth="1"/>
  </x:cols>
  <x:sheetData>
    <x:row r="1">
      <x:c r="A1" s="4" t="str">
        <x:v>Control Checks &amp; Model Notes</x:v>
      </x:c>
      <x:c r="B1" s="4" t="str">
        <x:v>Control Checks &amp; Model Notes</x:v>
      </x:c>
      <x:c r="C1" s="4" t="str">
        <x:v>Control Checks &amp; Model Notes</x:v>
      </x:c>
      <x:c r="D1" s="4" t="str">
        <x:v>Control Checks &amp; Model Notes</x:v>
      </x:c>
      <x:c r="E1" s="4" t="str">
        <x:v>Control Checks &amp; Model Notes</x:v>
      </x:c>
      <x:c r="F1" s="4" t="str">
        <x:v>Control Checks &amp; Model Notes</x:v>
      </x:c>
    </x:row>
    <x:row r="2">
      <x:c r="A2" s="4" t="str">
        <x:v>Control Checks &amp; Model Notes</x:v>
      </x:c>
      <x:c r="B2" s="4" t="str">
        <x:v>Control Checks &amp; Model Notes</x:v>
      </x:c>
      <x:c r="C2" s="4" t="str">
        <x:v>Control Checks &amp; Model Notes</x:v>
      </x:c>
      <x:c r="D2" s="4" t="str">
        <x:v>Control Checks &amp; Model Notes</x:v>
      </x:c>
      <x:c r="E2" s="4" t="str">
        <x:v>Control Checks &amp; Model Notes</x:v>
      </x:c>
      <x:c r="F2" s="4" t="str">
        <x:v>Control Checks &amp; Model Notes</x:v>
      </x:c>
    </x:row>
    <x:row r="3">
      <x:c r="A3" s="8" t="str">
        <x:v>Reconciliation and data-quality checks must pass before cash application results are presented</x:v>
      </x:c>
      <x:c r="B3" s="8" t="str">
        <x:v>Reconciliation and data-quality checks must pass before cash application results are presented</x:v>
      </x:c>
      <x:c r="C3" s="8" t="str">
        <x:v>Reconciliation and data-quality checks must pass before cash application results are presented</x:v>
      </x:c>
      <x:c r="D3" s="8" t="str">
        <x:v>Reconciliation and data-quality checks must pass before cash application results are presented</x:v>
      </x:c>
      <x:c r="E3" s="8" t="str">
        <x:v>Reconciliation and data-quality checks must pass before cash application results are presented</x:v>
      </x:c>
      <x:c r="F3" s="8" t="str">
        <x:v>Reconciliation and data-quality checks must pass before cash application results are presented</x:v>
      </x:c>
    </x:row>
    <x:row r="4">
      <x:c r="A4" s="541" t="str">
        <x:v>MODEL STATUS</x:v>
      </x:c>
      <x:c r="B4" s="546" t="str">
        <x:f>IF(COUNTIF(B8:B14,"FAIL")=0,"PASS","FAIL")</x:f>
        <x:v>PASS</x:v>
      </x:c>
      <x:c r="C4" s="547"/>
      <x:c r="E4" s="548" t="str">
        <x:v>As-of</x:v>
      </x:c>
      <x:c r="F4" s="9" t="n">
        <x:f>'Dashboard'!$B$4</x:f>
        <x:v>46203</x:v>
      </x:c>
    </x:row>
    <x:row r="7">
      <x:c r="A7" s="343" t="str">
        <x:v>Check</x:v>
      </x:c>
      <x:c r="B7" s="344" t="str">
        <x:v>Status</x:v>
      </x:c>
      <x:c r="C7" s="344" t="str">
        <x:v>Delta</x:v>
      </x:c>
      <x:c r="D7" s="345" t="str">
        <x:v>Where to fix / Notes</x:v>
      </x:c>
    </x:row>
    <x:row r="8">
      <x:c r="A8" s="348" t="str">
        <x:v>Applied cash ties to receipt applications</x:v>
      </x:c>
      <x:c r="B8" s="348" t="str">
        <x:f>IF(ABS(C8)&lt;0.01,"PASS","FAIL")</x:f>
        <x:v>PASS</x:v>
      </x:c>
      <x:c r="C8" s="550" t="n">
        <x:f>'Dashboard'!$E$7-SUM('Cash Receipts'!$J$7:$J$36)</x:f>
        <x:v>0</x:v>
      </x:c>
      <x:c r="D8" s="348" t="str">
        <x:v>Cash Receipts / Application Detail</x:v>
      </x:c>
    </x:row>
    <x:row r="9">
      <x:c r="A9" s="351" t="str">
        <x:v>Receipt rollforward reconciles</x:v>
      </x:c>
      <x:c r="B9" s="351" t="str">
        <x:f>IF(ABS(C9)&lt;0.01,"PASS","FAIL")</x:f>
        <x:v>PASS</x:v>
      </x:c>
      <x:c r="C9" s="551" t="n">
        <x:f>'Dashboard'!$A$7-'Dashboard'!$E$7-'Dashboard'!$I$7</x:f>
        <x:v>0</x:v>
      </x:c>
      <x:c r="D9" s="351" t="str">
        <x:v>Dashboard receipt KPIs</x:v>
      </x:c>
    </x:row>
    <x:row r="10">
      <x:c r="A10" s="351" t="str">
        <x:v>Invoice rollforward reconciles</x:v>
      </x:c>
      <x:c r="B10" s="351" t="str">
        <x:f>IF(ABS(C10)&lt;0.01,"PASS","FAIL")</x:f>
        <x:v>PASS</x:v>
      </x:c>
      <x:c r="C10" s="551" t="n">
        <x:f>SUM('Invoice Register'!$E$7:$E$36)-SUM('Invoice Register'!$H$7:$H$36)-SUM('Invoice Register'!$I$7:$I$36)</x:f>
        <x:v>0</x:v>
      </x:c>
      <x:c r="D10" s="351" t="str">
        <x:v>Invoice Register rollforward</x:v>
      </x:c>
    </x:row>
    <x:row r="11">
      <x:c r="A11" s="351" t="str">
        <x:v>No overapplied receipts</x:v>
      </x:c>
      <x:c r="B11" s="351" t="str">
        <x:f>IF(ABS(C11)&lt;0.01,"PASS","FAIL")</x:f>
        <x:v>PASS</x:v>
      </x:c>
      <x:c r="C11" s="551" t="n">
        <x:f>COUNTIF('Cash Receipts'!$M$7:$M$36,"Overapplied")</x:f>
        <x:v>0</x:v>
      </x:c>
      <x:c r="D11" s="351" t="str">
        <x:v>Cash Receipts application status</x:v>
      </x:c>
    </x:row>
    <x:row r="12">
      <x:c r="A12" s="351" t="str">
        <x:v>No overapplied invoices</x:v>
      </x:c>
      <x:c r="B12" s="351" t="str">
        <x:f>IF(ABS(C12)&lt;0.01,"PASS","FAIL")</x:f>
        <x:v>PASS</x:v>
      </x:c>
      <x:c r="C12" s="551" t="n">
        <x:f>COUNTIF('Invoice Register'!$J$7:$J$36,"Overapplied")</x:f>
        <x:v>0</x:v>
      </x:c>
      <x:c r="D12" s="351" t="str">
        <x:v>Invoice Register status</x:v>
      </x:c>
    </x:row>
    <x:row r="13">
      <x:c r="A13" s="351" t="str">
        <x:v>All application references are valid</x:v>
      </x:c>
      <x:c r="B13" s="351" t="str">
        <x:f>IF(ABS(C13)&lt;0.01,"PASS","FAIL")</x:f>
        <x:v>PASS</x:v>
      </x:c>
      <x:c r="C13" s="551" t="n">
        <x:f>COUNTIF('Application Detail'!$O$7:$O$36,"Invalid reference")</x:f>
        <x:v>0</x:v>
      </x:c>
      <x:c r="D13" s="351" t="str">
        <x:v>Application Detail payment and invoice IDs</x:v>
      </x:c>
    </x:row>
    <x:row r="14">
      <x:c r="A14" s="351" t="str">
        <x:v>No application rows are overapplied</x:v>
      </x:c>
      <x:c r="B14" s="351" t="str">
        <x:f>IF(ABS(C14)&lt;0.01,"PASS","FAIL")</x:f>
        <x:v>PASS</x:v>
      </x:c>
      <x:c r="C14" s="551" t="n">
        <x:f>COUNTIF('Application Detail'!$O$7:$O$36,"Overapplied")</x:f>
        <x:v>0</x:v>
      </x:c>
      <x:c r="D14" s="351" t="str">
        <x:v>Application Detail allocation amounts</x:v>
      </x:c>
    </x:row>
    <x:row r="17">
      <x:c r="A17" s="370" t="str">
        <x:v>REFRESH WORKFLOW</x:v>
      </x:c>
      <x:c r="B17" s="371" t="str">
        <x:v>REFRESH WORKFLOW</x:v>
      </x:c>
      <x:c r="C17" s="371" t="str">
        <x:v>REFRESH WORKFLOW</x:v>
      </x:c>
      <x:c r="D17" s="371" t="str">
        <x:v>REFRESH WORKFLOW</x:v>
      </x:c>
      <x:c r="E17" s="371" t="str">
        <x:v>REFRESH WORKFLOW</x:v>
      </x:c>
      <x:c r="F17" s="372" t="str">
        <x:v>REFRESH WORKFLOW</x:v>
      </x:c>
    </x:row>
    <x:row r="18">
      <x:c r="A18" s="553" t="n">
        <x:v>1</x:v>
      </x:c>
      <x:c r="B18" s="555" t="str">
        <x:v>Update invoice inputs in Invoice Register columns A:G.</x:v>
      </x:c>
      <x:c r="C18" s="555"/>
      <x:c r="D18" s="555"/>
      <x:c r="E18" s="555"/>
      <x:c r="F18" s="555"/>
    </x:row>
    <x:row r="19">
      <x:c r="A19" s="553" t="n">
        <x:v>2</x:v>
      </x:c>
      <x:c r="B19" s="555" t="str">
        <x:v>Update receipt inputs in Cash Receipts columns A:I.</x:v>
      </x:c>
      <x:c r="C19" s="555"/>
      <x:c r="D19" s="555"/>
      <x:c r="E19" s="555"/>
      <x:c r="F19" s="555"/>
    </x:row>
    <x:row r="20">
      <x:c r="A20" s="553" t="n">
        <x:v>3</x:v>
      </x:c>
      <x:c r="B20" s="555" t="str">
        <x:v>Enter or revise allocations in Application Detail columns A:G.</x:v>
      </x:c>
      <x:c r="C20" s="555"/>
      <x:c r="D20" s="555"/>
      <x:c r="E20" s="555"/>
      <x:c r="F20" s="555"/>
    </x:row>
    <x:row r="21">
      <x:c r="A21" s="553" t="n">
        <x:v>4</x:v>
      </x:c>
      <x:c r="B21" s="555" t="str">
        <x:v>Add any new customer names to Customer Summary, then confirm MODEL STATUS = PASS.</x:v>
      </x:c>
      <x:c r="C21" s="555"/>
      <x:c r="D21" s="555"/>
      <x:c r="E21" s="555"/>
      <x:c r="F21" s="555"/>
    </x:row>
    <x:row r="24">
      <x:c r="A24" s="560" t="str">
        <x:v>SOURCE LOG</x:v>
      </x:c>
      <x:c r="B24" s="561" t="str">
        <x:v>SOURCE LOG</x:v>
      </x:c>
      <x:c r="C24" s="561" t="str">
        <x:v>SOURCE LOG</x:v>
      </x:c>
      <x:c r="D24" s="561" t="str">
        <x:v>SOURCE LOG</x:v>
      </x:c>
      <x:c r="E24" s="561" t="str">
        <x:v>SOURCE LOG</x:v>
      </x:c>
      <x:c r="F24" s="562" t="str">
        <x:v>SOURCE LOG</x:v>
      </x:c>
    </x:row>
    <x:row r="25">
      <x:c r="A25" s="565" t="str">
        <x:v>Item</x:v>
      </x:c>
      <x:c r="B25" s="565" t="str">
        <x:v>Period / As-of</x:v>
      </x:c>
      <x:c r="C25" s="565" t="str">
        <x:v>Source Type</x:v>
      </x:c>
      <x:c r="D25" s="565" t="str">
        <x:v>Source Name</x:v>
      </x:c>
      <x:c r="E25" s="565" t="str">
        <x:v>Reference</x:v>
      </x:c>
      <x:c r="F25" s="565" t="str">
        <x:v>Notes</x:v>
      </x:c>
    </x:row>
    <x:row r="26" ht="34" customHeight="1">
      <x:c r="A26" s="566" t="str">
        <x:v>Invoice register</x:v>
      </x:c>
      <x:c r="B26" s="567" t="n">
        <x:v>46203</x:v>
      </x:c>
      <x:c r="C26" s="566" t="str">
        <x:v>Portfolio simulation</x:v>
      </x:c>
      <x:c r="D26" s="566" t="str">
        <x:v>sample_invoices.csv</x:v>
      </x:c>
      <x:c r="E26" s="568" t="str">
        <x:v>https://github.com/SanDAce07/accounting-projects-portfolio/blob/main/accounts-receivable/cash-application-tracker/sample_invoices.csv</x:v>
      </x:c>
      <x:c r="F26" s="568" t="str">
        <x:v>Synthetic open-invoice data.</x:v>
      </x:c>
    </x:row>
    <x:row r="27" ht="34" customHeight="1">
      <x:c r="A27" s="566" t="str">
        <x:v>Cash receipts</x:v>
      </x:c>
      <x:c r="B27" s="567" t="n">
        <x:v>46203</x:v>
      </x:c>
      <x:c r="C27" s="566" t="str">
        <x:v>Portfolio simulation</x:v>
      </x:c>
      <x:c r="D27" s="566" t="str">
        <x:v>sample_cash_receipts.csv</x:v>
      </x:c>
      <x:c r="E27" s="568" t="str">
        <x:v>https://github.com/SanDAce07/accounting-projects-portfolio/blob/main/accounts-receivable/cash-application-tracker/sample_cash_receipts.csv</x:v>
      </x:c>
      <x:c r="F27" s="568" t="str">
        <x:v>Synthetic bank receipts and remittance data.</x:v>
      </x:c>
    </x:row>
    <x:row r="28" ht="34" customHeight="1">
      <x:c r="A28" s="566" t="str">
        <x:v>Applications</x:v>
      </x:c>
      <x:c r="B28" s="567" t="n">
        <x:v>46203</x:v>
      </x:c>
      <x:c r="C28" s="566" t="str">
        <x:v>Portfolio simulation</x:v>
      </x:c>
      <x:c r="D28" s="566" t="str">
        <x:v>sample_applications.csv</x:v>
      </x:c>
      <x:c r="E28" s="568" t="str">
        <x:v>https://github.com/SanDAce07/accounting-projects-portfolio/blob/main/accounts-receivable/cash-application-tracker/sample_applications.csv</x:v>
      </x:c>
      <x:c r="F28" s="568" t="str">
        <x:v>Synthetic payment-to-invoice allocations.</x:v>
      </x:c>
    </x:row>
  </x:sheetData>
  <x:mergeCells>
    <x:mergeCell ref="A1:F2"/>
    <x:mergeCell ref="A3:F3"/>
    <x:mergeCell ref="B4:C4"/>
    <x:mergeCell ref="A17:F17"/>
    <x:mergeCell ref="B18:F18"/>
    <x:mergeCell ref="B19:F19"/>
    <x:mergeCell ref="B20:F20"/>
    <x:mergeCell ref="B21:F21"/>
    <x:mergeCell ref="A24:F24"/>
  </x:mergeCells>
  <x:conditionalFormatting sqref="B8:B14">
    <x:cfRule type="containsText" dxfId="15" priority="1" operator="containsText" text="PASS"/>
    <x:cfRule type="containsText" dxfId="16" priority="2" operator="containsText" text="FAIL"/>
  </x:conditionalFormatting>
  <x:pageMargins left="0.7" right="0.7" top="0.75" bottom="0.75" header="0.3" footer="0.3"/>
</x:worksheet>
</file>