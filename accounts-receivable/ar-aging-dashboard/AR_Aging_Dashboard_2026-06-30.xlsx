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e7c181ef414c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 Data" sheetId="1" r:id="R2cae2b96a38a4c33"/>
    <x:sheet xmlns:r="http://schemas.openxmlformats.org/officeDocument/2006/relationships" name="Dashboard" sheetId="2" r:id="R6e42ef89be35427e"/>
    <x:sheet xmlns:r="http://schemas.openxmlformats.org/officeDocument/2006/relationships" name="Invoice Detail" sheetId="3" r:id="Rf80c6786a55d4cf0"/>
    <x:sheet xmlns:r="http://schemas.openxmlformats.org/officeDocument/2006/relationships" name="Customer Summary" sheetId="4" r:id="Racb1fb1ef80642ab"/>
    <x:sheet xmlns:r="http://schemas.openxmlformats.org/officeDocument/2006/relationships" name="Control Checks" sheetId="5" r:id="R9aec950127674e14"/>
  </x:sheets>
</x:workbook>
</file>

<file path=xl/comments1.xml><?xml version="1.0" encoding="utf-8"?>
<x:comments xmlns:x="http://schemas.openxmlformats.org/spreadsheetml/2006/main">
  <x:authors>
    <x:author>tc={61E8187A-9AE5-944E-3C21-60BF43C8BD57}</x:author>
  </x:authors>
  <x:commentList>
    <x:comment ref="B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sample_ar_aging_data.csv | As-of: 2026-06-30 | Assumption: reporting cutoff selected for this portfolio scenario.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&quot;$&quot;#,##0;[Red](&quot;$&quot;#,##0);-"/>
    <x:numFmt numFmtId="202" formatCode="0.0%"/>
    <x:numFmt numFmtId="203" formatCode="0"/>
    <x:numFmt numFmtId="204" formatCode="0;-0;-"/>
    <x:numFmt numFmtId="205" formatCode="0.00"/>
  </x:numFmts>
  <x:fonts count="26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F2937"/>
      <x:name val="Carlito"/>
    </x:font>
    <x:font>
      <x:b/>
      <x:sz val="22"/>
      <x:color rgb="FFFFFFFF"/>
      <x:name val="Carlito"/>
    </x:font>
    <x:font>
      <x:sz val="10"/>
      <x:color rgb="FF667085"/>
      <x:name val="Carlito"/>
    </x:font>
    <x:font>
      <x:sz val="10"/>
      <x:color rgb="FF1F2937"/>
      <x:name val="Carlito"/>
    </x:font>
    <x:font>
      <x:b/>
      <x:sz val="10"/>
      <x:color rgb="FF667085"/>
      <x:name val="Carlito"/>
    </x:font>
    <x:font>
      <x:b/>
      <x:sz val="10"/>
      <x:color rgb="FF2E7D32"/>
      <x:name val="Carlito"/>
    </x:font>
    <x:font>
      <x:b/>
      <x:sz val="10"/>
      <x:color rgb="FFFFFFFF"/>
      <x:name val="Carlito"/>
    </x:font>
    <x:font>
      <x:b/>
      <x:sz val="20"/>
      <x:color rgb="FF1F2937"/>
      <x:name val="Carlito"/>
    </x:font>
    <x:font>
      <x:b/>
      <x:sz val="20"/>
      <x:color rgb="FFC63D3D"/>
      <x:name val="Carlito"/>
    </x:font>
    <x:font>
      <x:b/>
      <x:sz val="20"/>
      <x:color rgb="FF9A5A00"/>
      <x:name val="Carlito"/>
    </x:font>
    <x:font>
      <x:b/>
      <x:sz val="22"/>
      <x:color rgb="FF1F2937"/>
      <x:name val="Carlito"/>
    </x:font>
    <x:font>
      <x:b/>
      <x:sz val="22"/>
      <x:color rgb="FF6B5CA5"/>
      <x:name val="Carlito"/>
    </x:font>
    <x:font>
      <x:b/>
      <x:sz val="11"/>
      <x:color rgb="FF2A9D8F"/>
      <x:name val="Carlito"/>
    </x:font>
    <x:font>
      <x:b/>
      <x:sz val="18"/>
      <x:color rgb="FF1F2937"/>
      <x:name val="Carlito"/>
    </x:font>
    <x:font>
      <x:b/>
      <x:sz val="11"/>
      <x:color rgb="FFC63D3D"/>
      <x:name val="Carlito"/>
    </x:font>
    <x:font>
      <x:b/>
      <x:sz val="11"/>
      <x:color rgb="FF9A5A00"/>
      <x:name val="Carlito"/>
    </x:font>
    <x:font>
      <x:b/>
      <x:sz val="22"/>
      <x:color rgb="FFC63D3D"/>
      <x:name val="Carlito"/>
    </x:font>
    <x:font>
      <x:b/>
      <x:sz val="22"/>
      <x:color rgb="FF2A9D8F"/>
      <x:name val="Carlito"/>
    </x:font>
    <x:font>
      <x:b/>
      <x:sz val="11"/>
      <x:color rgb="FF667085"/>
      <x:name val="Carlito"/>
    </x:font>
    <x:font>
      <x:i/>
      <x:sz val="11"/>
      <x:color rgb="FF7A4A00"/>
      <x:name val="Carlito"/>
    </x:font>
    <x:font>
      <x:i/>
      <x:sz val="11"/>
      <x:color rgb="FF2A9D8F"/>
      <x:name val="Carlito"/>
    </x:font>
    <x:font>
      <x:b/>
      <x:sz val="16"/>
      <x:color rgb="FF2E7D32"/>
      <x:name val="Carlito"/>
    </x:font>
    <x:font>
      <x:b/>
      <x:sz val="11"/>
      <x:color rgb="FF6B5CA5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F75B5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EAF5EA"/>
      </x:patternFill>
    </x:fill>
    <x:fill>
      <x:patternFill patternType="solid">
        <x:fgColor rgb="FFC63D3D"/>
      </x:patternFill>
    </x:fill>
    <x:fill>
      <x:patternFill patternType="solid">
        <x:fgColor rgb="FFFCECEC"/>
      </x:patternFill>
    </x:fill>
    <x:fill>
      <x:patternFill patternType="solid">
        <x:fgColor rgb="FFE69F3A"/>
      </x:patternFill>
    </x:fill>
    <x:fill>
      <x:patternFill patternType="solid">
        <x:fgColor rgb="FFFFF4E5"/>
      </x:patternFill>
    </x:fill>
    <x:fill>
      <x:patternFill patternType="solid">
        <x:fgColor rgb="FF6B5CA5"/>
      </x:patternFill>
    </x:fill>
    <x:fill>
      <x:patternFill patternType="solid">
        <x:fgColor rgb="FFF1EEFA"/>
      </x:patternFill>
    </x:fill>
    <x:fill>
      <x:patternFill patternType="solid">
        <x:fgColor rgb="FF2A9D8F"/>
      </x:patternFill>
    </x:fill>
    <x:fill>
      <x:patternFill patternType="solid">
        <x:fgColor rgb="FFE8F5F2"/>
      </x:patternFill>
    </x:fill>
    <x:fill>
      <x:patternFill patternType="solid">
        <x:fgColor rgb="FFF5F7FA"/>
      </x:patternFill>
    </x:fill>
  </x:fills>
  <x:borders count="50">
    <x:border/>
    <x:border/>
    <x:border>
      <x:bottom style="thin">
        <x:color rgb="FFE7EBF0"/>
      </x:bottom>
    </x:border>
    <x:border>
      <x:top style="thin">
        <x:color rgb="FFE7EBF0"/>
      </x:top>
      <x:bottom style="thin">
        <x:color rgb="FFE7EBF0"/>
      </x:bottom>
    </x:border>
    <x:border>
      <x:top style="thin">
        <x:color rgb="FFE7EBF0"/>
      </x:top>
    </x:border>
    <x:border>
      <x:bottom style="thin">
        <x:color rgb="FFE7EBF0"/>
      </x:bottom>
    </x:border>
    <x:border>
      <x:top style="thin">
        <x:color rgb="FFE7EBF0"/>
      </x:top>
      <x:bottom style="thin">
        <x:color rgb="FFE7EBF0"/>
      </x:bottom>
    </x:border>
    <x:border>
      <x:top style="thin">
        <x:color rgb="FFE7EBF0"/>
      </x:top>
    </x:border>
    <x:border>
      <x:left style="thin">
        <x:color rgb="FF2F75B5"/>
      </x:left>
      <x:top style="thin">
        <x:color rgb="FF2F75B5"/>
      </x:top>
      <x:bottom style="thin">
        <x:color rgb="FF2F75B5"/>
      </x:bottom>
    </x:border>
    <x:border>
      <x:right style="thin">
        <x:color rgb="FF2F75B5"/>
      </x:right>
      <x:top style="thin">
        <x:color rgb="FF2F75B5"/>
      </x:top>
      <x:bottom style="thin">
        <x:color rgb="FF2F75B5"/>
      </x:bottom>
    </x:border>
    <x:border>
      <x:left style="thin">
        <x:color rgb="FF2F75B5"/>
      </x:left>
      <x:top style="thin">
        <x:color rgb="FF2F75B5"/>
      </x:top>
      <x:bottom style="thin">
        <x:color rgb="FF2F75B5"/>
      </x:bottom>
    </x:border>
    <x:border>
      <x:right style="thin">
        <x:color rgb="FF2F75B5"/>
      </x:right>
      <x:top style="thin">
        <x:color rgb="FF2F75B5"/>
      </x:top>
      <x:bottom style="thin">
        <x:color rgb="FF2F75B5"/>
      </x:bottom>
    </x:border>
    <x:border>
      <x:left style="thin">
        <x:color rgb="FFD7DEE7"/>
      </x:left>
      <x:top style="thin">
        <x:color rgb="FFD7DEE7"/>
      </x:top>
    </x:border>
    <x:border>
      <x:right style="thin">
        <x:color rgb="FFD7DEE7"/>
      </x:right>
      <x:top style="thin">
        <x:color rgb="FFD7DEE7"/>
      </x:top>
    </x:border>
    <x:border>
      <x:left style="thin">
        <x:color rgb="FFD7DEE7"/>
      </x:left>
    </x:border>
    <x:border>
      <x:right style="thin">
        <x:color rgb="FFD7DEE7"/>
      </x:right>
    </x:border>
    <x:border>
      <x:left style="thin">
        <x:color rgb="FFD7DEE7"/>
      </x:left>
      <x:bottom style="thin">
        <x:color rgb="FFD7DEE7"/>
      </x:bottom>
    </x:border>
    <x:border>
      <x:right style="thin">
        <x:color rgb="FFD7DEE7"/>
      </x:right>
      <x:bottom style="thin">
        <x:color rgb="FFD7DEE7"/>
      </x:bottom>
    </x:border>
    <x:border>
      <x:left style="thin">
        <x:color rgb="FFD7DEE7"/>
      </x:left>
      <x:top style="thin">
        <x:color rgb="FFD7DEE7"/>
      </x:top>
    </x:border>
    <x:border>
      <x:right style="thin">
        <x:color rgb="FFD7DEE7"/>
      </x:right>
      <x:top style="thin">
        <x:color rgb="FFD7DEE7"/>
      </x:top>
    </x:border>
    <x:border>
      <x:left style="thin">
        <x:color rgb="FFD7DEE7"/>
      </x:left>
    </x:border>
    <x:border>
      <x:right style="thin">
        <x:color rgb="FFD7DEE7"/>
      </x:right>
    </x:border>
    <x:border>
      <x:left style="thin">
        <x:color rgb="FFD7DEE7"/>
      </x:left>
      <x:bottom style="thin">
        <x:color rgb="FFD7DEE7"/>
      </x:bottom>
    </x:border>
    <x:border>
      <x:right style="thin">
        <x:color rgb="FFD7DEE7"/>
      </x:right>
      <x:bottom style="thin">
        <x:color rgb="FFD7DEE7"/>
      </x:bottom>
    </x:border>
    <x:border>
      <x:left style="thin">
        <x:color rgb="FFD7DEE7"/>
      </x:left>
      <x:top style="thin">
        <x:color rgb="FFD7DEE7"/>
      </x:top>
      <x:bottom style="thin">
        <x:color rgb="FFD7DEE7"/>
      </x:bottom>
    </x:border>
    <x:border>
      <x:top style="thin">
        <x:color rgb="FFD7DEE7"/>
      </x:top>
      <x:bottom style="thin">
        <x:color rgb="FFD7DEE7"/>
      </x:bottom>
    </x:border>
    <x:border>
      <x:right style="thin">
        <x:color rgb="FFD7DEE7"/>
      </x:right>
      <x:top style="thin">
        <x:color rgb="FFD7DEE7"/>
      </x:top>
      <x:bottom style="thin">
        <x:color rgb="FFD7DEE7"/>
      </x:bottom>
    </x:border>
    <x:border>
      <x:left style="thin">
        <x:color rgb="FFD7DEE7"/>
      </x:left>
      <x:top style="thin">
        <x:color rgb="FFD7DEE7"/>
      </x:top>
      <x:bottom style="thin">
        <x:color rgb="FFD7DEE7"/>
      </x:bottom>
    </x:border>
    <x:border>
      <x:top style="thin">
        <x:color rgb="FFD7DEE7"/>
      </x:top>
      <x:bottom style="thin">
        <x:color rgb="FFD7DEE7"/>
      </x:bottom>
    </x:border>
    <x:border>
      <x:right style="thin">
        <x:color rgb="FFD7DEE7"/>
      </x:right>
      <x:top style="thin">
        <x:color rgb="FFD7DEE7"/>
      </x:top>
      <x:bottom style="thin">
        <x:color rgb="FFD7DEE7"/>
      </x:bottom>
    </x:border>
    <x:border>
      <x:top style="thin">
        <x:color rgb="FFD7DEE7"/>
      </x:top>
    </x:border>
    <x:border>
      <x:bottom style="thin">
        <x:color rgb="FFD7DEE7"/>
      </x:bottom>
    </x:border>
    <x:border>
      <x:top style="thin">
        <x:color rgb="FFD7DEE7"/>
      </x:top>
    </x:border>
    <x:border>
      <x:bottom style="thin">
        <x:color rgb="FFD7DEE7"/>
      </x:bottom>
    </x:border>
    <x:border>
      <x:top style="thin">
        <x:color rgb="FF2F75B5"/>
      </x:top>
      <x:bottom style="thin">
        <x:color rgb="FF2F75B5"/>
      </x:bottom>
    </x:border>
    <x:border>
      <x:top style="thin">
        <x:color rgb="FF2F75B5"/>
      </x:top>
      <x:bottom style="thin">
        <x:color rgb="FF2F75B5"/>
      </x:bottom>
    </x:border>
    <x:border>
      <x:left style="thin">
        <x:color rgb="FF2A9D8F"/>
      </x:left>
      <x:top style="thin">
        <x:color rgb="FF2A9D8F"/>
      </x:top>
      <x:bottom style="thin">
        <x:color rgb="FF2A9D8F"/>
      </x:bottom>
    </x:border>
    <x:border>
      <x:top style="thin">
        <x:color rgb="FF2A9D8F"/>
      </x:top>
      <x:bottom style="thin">
        <x:color rgb="FF2A9D8F"/>
      </x:bottom>
    </x:border>
    <x:border>
      <x:right style="thin">
        <x:color rgb="FF2A9D8F"/>
      </x:right>
      <x:top style="thin">
        <x:color rgb="FF2A9D8F"/>
      </x:top>
      <x:bottom style="thin">
        <x:color rgb="FF2A9D8F"/>
      </x:bottom>
    </x:border>
    <x:border>
      <x:left style="thin">
        <x:color rgb="FF2A9D8F"/>
      </x:left>
      <x:top style="thin">
        <x:color rgb="FF2A9D8F"/>
      </x:top>
      <x:bottom style="thin">
        <x:color rgb="FF2A9D8F"/>
      </x:bottom>
    </x:border>
    <x:border>
      <x:top style="thin">
        <x:color rgb="FF2A9D8F"/>
      </x:top>
      <x:bottom style="thin">
        <x:color rgb="FF2A9D8F"/>
      </x:bottom>
    </x:border>
    <x:border>
      <x:right style="thin">
        <x:color rgb="FF2A9D8F"/>
      </x:right>
      <x:top style="thin">
        <x:color rgb="FF2A9D8F"/>
      </x:top>
      <x:bottom style="thin">
        <x:color rgb="FF2A9D8F"/>
      </x:bottom>
    </x:border>
    <x:border>
      <x:left style="thin">
        <x:color rgb="FF6B5CA5"/>
      </x:left>
      <x:top style="thin">
        <x:color rgb="FF6B5CA5"/>
      </x:top>
      <x:bottom style="thin">
        <x:color rgb="FF6B5CA5"/>
      </x:bottom>
    </x:border>
    <x:border>
      <x:top style="thin">
        <x:color rgb="FF6B5CA5"/>
      </x:top>
      <x:bottom style="thin">
        <x:color rgb="FF6B5CA5"/>
      </x:bottom>
    </x:border>
    <x:border>
      <x:right style="thin">
        <x:color rgb="FF6B5CA5"/>
      </x:right>
      <x:top style="thin">
        <x:color rgb="FF6B5CA5"/>
      </x:top>
      <x:bottom style="thin">
        <x:color rgb="FF6B5CA5"/>
      </x:bottom>
    </x:border>
    <x:border>
      <x:left style="thin">
        <x:color rgb="FF6B5CA5"/>
      </x:left>
      <x:top style="thin">
        <x:color rgb="FF6B5CA5"/>
      </x:top>
      <x:bottom style="thin">
        <x:color rgb="FF6B5CA5"/>
      </x:bottom>
    </x:border>
    <x:border>
      <x:top style="thin">
        <x:color rgb="FF6B5CA5"/>
      </x:top>
      <x:bottom style="thin">
        <x:color rgb="FF6B5CA5"/>
      </x:bottom>
    </x:border>
    <x:border>
      <x:right style="thin">
        <x:color rgb="FF6B5CA5"/>
      </x:right>
      <x:top style="thin">
        <x:color rgb="FF6B5CA5"/>
      </x:top>
      <x:bottom style="thin">
        <x:color rgb="FF6B5CA5"/>
      </x:bottom>
    </x:border>
    <x:border>
      <x:left style="thin">
        <x:color rgb="FFD7DEE7"/>
      </x:left>
      <x:right style="thin">
        <x:color rgb="FFD7DEE7"/>
      </x:right>
      <x:top style="thin">
        <x:color rgb="FFD7DEE7"/>
      </x:top>
      <x:bottom style="thin">
        <x:color rgb="FFD7DEE7"/>
      </x:bottom>
    </x:border>
    <x:border>
      <x:left style="thin">
        <x:color rgb="FFD7DEE7"/>
      </x:left>
      <x:right style="thin">
        <x:color rgb="FFD7DEE7"/>
      </x:right>
      <x:top style="thin">
        <x:color rgb="FFD7DEE7"/>
      </x:top>
      <x:bottom style="thin">
        <x:color rgb="FFD7DEE7"/>
      </x:bottom>
    </x:border>
  </x:borders>
  <x:cellStyleXfs count="1">
    <x:xf numFmtId="0" fontId="0" fillId="0" borderId="0"/>
  </x:cellStyleXfs>
  <x:cellXfs count="107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2" xfId="0" applyNumberFormat="1" applyFont="1" applyFill="1" applyBorder="1"/>
    <x:xf numFmtId="200" fontId="0" fillId="0" borderId="3" xfId="0" applyNumberFormat="1" applyFont="1" applyFill="1" applyBorder="1"/>
    <x:xf numFmtId="200" fontId="0" fillId="0" borderId="4" xfId="0" applyNumberFormat="1" applyFont="1" applyFill="1" applyBorder="1"/>
    <x:xf numFmtId="200" fontId="0" fillId="0" borderId="5" xfId="0" applyNumberFormat="1" applyFont="1" applyFill="1" applyBorder="1"/>
    <x:xf numFmtId="200" fontId="0" fillId="0" borderId="6" xfId="0" applyNumberFormat="1" applyFont="1" applyFill="1" applyBorder="1"/>
    <x:xf numFmtId="200" fontId="0" fillId="0" borderId="7" xfId="0" applyNumberFormat="1" applyFont="1" applyFill="1" applyBorder="1"/>
    <x:xf numFmtId="201" fontId="0" fillId="0" borderId="2" xfId="0" applyNumberFormat="1" applyFont="1" applyFill="1" applyBorder="1"/>
    <x:xf numFmtId="201" fontId="0" fillId="0" borderId="3" xfId="0" applyNumberFormat="1" applyFont="1" applyFill="1" applyBorder="1"/>
    <x:xf numFmtId="201" fontId="0" fillId="0" borderId="4" xfId="0" applyNumberFormat="1" applyFont="1" applyFill="1" applyBorder="1"/>
    <x:xf numFmtId="201" fontId="0" fillId="0" borderId="5" xfId="0" applyNumberFormat="1" applyFont="1" applyFill="1" applyBorder="1"/>
    <x:xf numFmtId="201" fontId="0" fillId="0" borderId="6" xfId="0" applyNumberFormat="1" applyFont="1" applyFill="1" applyBorder="1"/>
    <x:xf numFmtId="201" fontId="0" fillId="0" borderId="7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10" xfId="0" applyNumberFormat="1" applyFont="1" applyFill="1" applyBorder="1"/>
    <x:xf numFmtId="0" fontId="1" fillId="3" borderId="11" xfId="0" applyNumberFormat="1" applyFont="1" applyFill="1" applyBorder="1"/>
    <x:xf numFmtId="0" fontId="1" fillId="3" borderId="8" xfId="0" applyNumberFormat="1" applyFont="1" applyFill="1" applyBorder="1" applyAlignment="1">
      <x:alignment vertical="center"/>
    </x:xf>
    <x:xf numFmtId="0" fontId="1" fillId="3" borderId="9" xfId="0" applyNumberFormat="1" applyFont="1" applyFill="1" applyBorder="1" applyAlignment="1">
      <x:alignment vertical="center"/>
    </x:xf>
    <x:xf numFmtId="0" fontId="1" fillId="3" borderId="10" xfId="0" applyNumberFormat="1" applyFont="1" applyFill="1" applyBorder="1" applyAlignment="1">
      <x:alignment vertical="center"/>
    </x:xf>
    <x:xf numFmtId="0" fontId="1" fillId="3" borderId="1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200" fontId="3" fillId="0" borderId="0" xfId="0" applyNumberFormat="1" applyFont="1" applyFill="1" applyBorder="1" applyAlignment="1">
      <x:alignment wrapText="1"/>
    </x:xf>
    <x:xf numFmtId="200" fontId="3" fillId="0" borderId="1" xfId="0" applyNumberFormat="1" applyFont="1" applyFill="1" applyBorder="1" applyAlignment="1">
      <x:alignment wrapText="1"/>
    </x:xf>
    <x:xf numFmtId="0" fontId="2" fillId="4" borderId="12" xfId="0" applyNumberFormat="1" applyFont="1" applyFill="1" applyBorder="1"/>
    <x:xf numFmtId="0" fontId="3" fillId="0" borderId="13" xfId="0" applyNumberFormat="1" applyFont="1" applyFill="1" applyBorder="1" applyAlignment="1">
      <x:alignment wrapText="1"/>
    </x:xf>
    <x:xf numFmtId="0" fontId="2" fillId="4" borderId="14" xfId="0" applyNumberFormat="1" applyFont="1" applyFill="1" applyBorder="1"/>
    <x:xf numFmtId="200" fontId="3" fillId="0" borderId="15" xfId="0" applyNumberFormat="1" applyFont="1" applyFill="1" applyBorder="1" applyAlignment="1">
      <x:alignment wrapText="1"/>
    </x:xf>
    <x:xf numFmtId="0" fontId="3" fillId="0" borderId="15" xfId="0" applyNumberFormat="1" applyFont="1" applyFill="1" applyBorder="1" applyAlignment="1">
      <x:alignment wrapText="1"/>
    </x:xf>
    <x:xf numFmtId="0" fontId="2" fillId="4" borderId="16" xfId="0" applyNumberFormat="1" applyFont="1" applyFill="1" applyBorder="1"/>
    <x:xf numFmtId="0" fontId="3" fillId="0" borderId="17" xfId="0" applyNumberFormat="1" applyFont="1" applyFill="1" applyBorder="1" applyAlignment="1">
      <x:alignment wrapText="1"/>
    </x:xf>
    <x:xf numFmtId="0" fontId="2" fillId="4" borderId="18" xfId="0" applyNumberFormat="1" applyFont="1" applyFill="1" applyBorder="1"/>
    <x:xf numFmtId="0" fontId="3" fillId="0" borderId="19" xfId="0" applyNumberFormat="1" applyFont="1" applyFill="1" applyBorder="1" applyAlignment="1">
      <x:alignment wrapText="1"/>
    </x:xf>
    <x:xf numFmtId="0" fontId="2" fillId="4" borderId="20" xfId="0" applyNumberFormat="1" applyFont="1" applyFill="1" applyBorder="1"/>
    <x:xf numFmtId="200" fontId="3" fillId="0" borderId="21" xfId="0" applyNumberFormat="1" applyFont="1" applyFill="1" applyBorder="1" applyAlignment="1">
      <x:alignment wrapText="1"/>
    </x:xf>
    <x:xf numFmtId="0" fontId="3" fillId="0" borderId="21" xfId="0" applyNumberFormat="1" applyFont="1" applyFill="1" applyBorder="1" applyAlignment="1">
      <x:alignment wrapText="1"/>
    </x:xf>
    <x:xf numFmtId="0" fontId="2" fillId="4" borderId="22" xfId="0" applyNumberFormat="1" applyFont="1" applyFill="1" applyBorder="1"/>
    <x:xf numFmtId="0" fontId="3" fillId="0" borderId="23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0" xfId="0" applyNumberFormat="1" applyFont="1" applyFill="1" applyBorder="1" applyAlignment="1">
      <x:alignment horizontal="left"/>
    </x:xf>
    <x:xf numFmtId="0" fontId="4" fillId="2" borderId="1" xfId="0" applyNumberFormat="1" applyFont="1" applyFill="1" applyBorder="1" applyAlignment="1">
      <x:alignment horizontal="left"/>
    </x:xf>
    <x:xf numFmtId="0" fontId="4" fillId="2" borderId="0" xfId="0" applyNumberFormat="1" applyFont="1" applyFill="1" applyBorder="1" applyAlignment="1">
      <x:alignment horizontal="left" vertical="center"/>
    </x:xf>
    <x:xf numFmtId="0" fontId="4" fillId="2" borderId="1" xfId="0" applyNumberFormat="1" applyFont="1" applyFill="1" applyBorder="1" applyAlignment="1">
      <x:alignment horizontal="left" vertical="center"/>
    </x:xf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5" fillId="4" borderId="1" xfId="0" applyNumberFormat="1" applyFont="1" applyFill="1" applyBorder="1" applyAlignment="1">
      <x:alignment horizontal="left"/>
    </x:xf>
    <x:xf numFmtId="0" fontId="5" fillId="4" borderId="0" xfId="0" applyNumberFormat="1" applyFont="1" applyFill="1" applyBorder="1" applyAlignment="1">
      <x:alignment horizontal="left" vertical="center"/>
    </x:xf>
    <x:xf numFmtId="0" fontId="5" fillId="4" borderId="1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6" fillId="5" borderId="0" xfId="0" applyNumberFormat="1" applyFont="1" applyFill="1" applyBorder="1"/>
    <x:xf numFmtId="0" fontId="6" fillId="5" borderId="1" xfId="0" applyNumberFormat="1" applyFont="1" applyFill="1" applyBorder="1"/>
    <x:xf numFmtId="0" fontId="7" fillId="5" borderId="0" xfId="0" applyNumberFormat="1" applyFont="1" applyFill="1" applyBorder="1"/>
    <x:xf numFmtId="0" fontId="7" fillId="5" borderId="1" xfId="0" applyNumberFormat="1" applyFont="1" applyFill="1" applyBorder="1"/>
    <x:xf numFmtId="200" fontId="6" fillId="5" borderId="0" xfId="0" applyNumberFormat="1" applyFont="1" applyFill="1" applyBorder="1"/>
    <x:xf numFmtId="200" fontId="6" fillId="5" borderId="1" xfId="0" applyNumberFormat="1" applyFont="1" applyFill="1" applyBorder="1"/>
    <x:xf numFmtId="0" fontId="7" fillId="5" borderId="0" xfId="0" applyNumberFormat="1" applyFont="1" applyFill="1" applyBorder="1" applyAlignment="1">
      <x:alignment horizontal="right"/>
    </x:xf>
    <x:xf numFmtId="0" fontId="7" fillId="5" borderId="1" xfId="0" applyNumberFormat="1" applyFont="1" applyFill="1" applyBorder="1" applyAlignment="1">
      <x:alignment horizontal="right"/>
    </x:xf>
    <x:xf numFmtId="0" fontId="6" fillId="6" borderId="0" xfId="0" applyNumberFormat="1" applyFont="1" applyFill="1" applyBorder="1"/>
    <x:xf numFmtId="0" fontId="6" fillId="6" borderId="1" xfId="0" applyNumberFormat="1" applyFont="1" applyFill="1" applyBorder="1"/>
    <x:xf numFmtId="0" fontId="8" fillId="6" borderId="0" xfId="0" applyNumberFormat="1" applyFont="1" applyFill="1" applyBorder="1"/>
    <x:xf numFmtId="0" fontId="8" fillId="6" borderId="1" xfId="0" applyNumberFormat="1" applyFont="1" applyFill="1" applyBorder="1"/>
    <x:xf numFmtId="0" fontId="8" fillId="6" borderId="0" xfId="0" applyNumberFormat="1" applyFont="1" applyFill="1" applyBorder="1" applyAlignment="1">
      <x:alignment horizontal="center"/>
    </x:xf>
    <x:xf numFmtId="0" fontId="8" fillId="6" borderId="1" xfId="0" applyNumberFormat="1" applyFont="1" applyFill="1" applyBorder="1" applyAlignment="1">
      <x:alignment horizontal="center"/>
    </x:xf>
    <x:xf numFmtId="0" fontId="9" fillId="2" borderId="0" xfId="0" applyNumberFormat="1" applyFont="1" applyFill="1" applyBorder="1"/>
    <x:xf numFmtId="0" fontId="9" fillId="2" borderId="1" xfId="0" applyNumberFormat="1" applyFont="1" applyFill="1" applyBorder="1"/>
    <x:xf numFmtId="0" fontId="9" fillId="2" borderId="24" xfId="0" applyNumberFormat="1" applyFont="1" applyFill="1" applyBorder="1"/>
    <x:xf numFmtId="0" fontId="9" fillId="2" borderId="25" xfId="0" applyNumberFormat="1" applyFont="1" applyFill="1" applyBorder="1"/>
    <x:xf numFmtId="0" fontId="9" fillId="2" borderId="26" xfId="0" applyNumberFormat="1" applyFont="1" applyFill="1" applyBorder="1"/>
    <x:xf numFmtId="0" fontId="9" fillId="2" borderId="27" xfId="0" applyNumberFormat="1" applyFont="1" applyFill="1" applyBorder="1"/>
    <x:xf numFmtId="0" fontId="9" fillId="2" borderId="28" xfId="0" applyNumberFormat="1" applyFont="1" applyFill="1" applyBorder="1"/>
    <x:xf numFmtId="0" fontId="9" fillId="2" borderId="29" xfId="0" applyNumberFormat="1" applyFont="1" applyFill="1" applyBorder="1"/>
    <x:xf numFmtId="0" fontId="9" fillId="2" borderId="24" xfId="0" applyNumberFormat="1" applyFont="1" applyFill="1" applyBorder="1" applyAlignment="1">
      <x:alignment horizontal="center"/>
    </x:xf>
    <x:xf numFmtId="0" fontId="9" fillId="2" borderId="25" xfId="0" applyNumberFormat="1" applyFont="1" applyFill="1" applyBorder="1" applyAlignment="1">
      <x:alignment horizontal="center"/>
    </x:xf>
    <x:xf numFmtId="0" fontId="9" fillId="2" borderId="26" xfId="0" applyNumberFormat="1" applyFont="1" applyFill="1" applyBorder="1" applyAlignment="1">
      <x:alignment horizontal="center"/>
    </x:xf>
    <x:xf numFmtId="0" fontId="9" fillId="2" borderId="27" xfId="0" applyNumberFormat="1" applyFont="1" applyFill="1" applyBorder="1" applyAlignment="1">
      <x:alignment horizontal="center"/>
    </x:xf>
    <x:xf numFmtId="0" fontId="9" fillId="2" borderId="28" xfId="0" applyNumberFormat="1" applyFont="1" applyFill="1" applyBorder="1" applyAlignment="1">
      <x:alignment horizontal="center"/>
    </x:xf>
    <x:xf numFmtId="0" fontId="9" fillId="2" borderId="29" xfId="0" applyNumberFormat="1" applyFont="1" applyFill="1" applyBorder="1" applyAlignment="1">
      <x:alignment horizontal="center"/>
    </x:xf>
    <x:xf numFmtId="0" fontId="9" fillId="2" borderId="24" xfId="0" applyNumberFormat="1" applyFont="1" applyFill="1" applyBorder="1" applyAlignment="1">
      <x:alignment horizontal="center" vertical="center"/>
    </x:xf>
    <x:xf numFmtId="0" fontId="9" fillId="2" borderId="25" xfId="0" applyNumberFormat="1" applyFont="1" applyFill="1" applyBorder="1" applyAlignment="1">
      <x:alignment horizontal="center" vertical="center"/>
    </x:xf>
    <x:xf numFmtId="0" fontId="9" fillId="2" borderId="26" xfId="0" applyNumberFormat="1" applyFont="1" applyFill="1" applyBorder="1" applyAlignment="1">
      <x:alignment horizontal="center" vertical="center"/>
    </x:xf>
    <x:xf numFmtId="0" fontId="9" fillId="2" borderId="27" xfId="0" applyNumberFormat="1" applyFont="1" applyFill="1" applyBorder="1" applyAlignment="1">
      <x:alignment horizontal="center" vertical="center"/>
    </x:xf>
    <x:xf numFmtId="0" fontId="9" fillId="2" borderId="28" xfId="0" applyNumberFormat="1" applyFont="1" applyFill="1" applyBorder="1" applyAlignment="1">
      <x:alignment horizontal="center" vertical="center"/>
    </x:xf>
    <x:xf numFmtId="0" fontId="9" fillId="2" borderId="29" xfId="0" applyNumberFormat="1" applyFont="1" applyFill="1" applyBorder="1" applyAlignment="1">
      <x:alignment horizontal="center" vertical="center"/>
    </x:xf>
    <x:xf numFmtId="0" fontId="10" fillId="5" borderId="0" xfId="0" applyNumberFormat="1" applyFont="1" applyFill="1" applyBorder="1"/>
    <x:xf numFmtId="0" fontId="10" fillId="5" borderId="1" xfId="0" applyNumberFormat="1" applyFont="1" applyFill="1" applyBorder="1"/>
    <x:xf numFmtId="0" fontId="10" fillId="5" borderId="12" xfId="0" applyNumberFormat="1" applyFont="1" applyFill="1" applyBorder="1"/>
    <x:xf numFmtId="0" fontId="10" fillId="5" borderId="30" xfId="0" applyNumberFormat="1" applyFont="1" applyFill="1" applyBorder="1"/>
    <x:xf numFmtId="0" fontId="10" fillId="5" borderId="13" xfId="0" applyNumberFormat="1" applyFont="1" applyFill="1" applyBorder="1"/>
    <x:xf numFmtId="0" fontId="10" fillId="5" borderId="14" xfId="0" applyNumberFormat="1" applyFont="1" applyFill="1" applyBorder="1"/>
    <x:xf numFmtId="0" fontId="10" fillId="5" borderId="15" xfId="0" applyNumberFormat="1" applyFont="1" applyFill="1" applyBorder="1"/>
    <x:xf numFmtId="0" fontId="10" fillId="5" borderId="16" xfId="0" applyNumberFormat="1" applyFont="1" applyFill="1" applyBorder="1"/>
    <x:xf numFmtId="0" fontId="10" fillId="5" borderId="31" xfId="0" applyNumberFormat="1" applyFont="1" applyFill="1" applyBorder="1"/>
    <x:xf numFmtId="0" fontId="10" fillId="5" borderId="17" xfId="0" applyNumberFormat="1" applyFont="1" applyFill="1" applyBorder="1"/>
    <x:xf numFmtId="0" fontId="10" fillId="5" borderId="18" xfId="0" applyNumberFormat="1" applyFont="1" applyFill="1" applyBorder="1"/>
    <x:xf numFmtId="0" fontId="10" fillId="5" borderId="32" xfId="0" applyNumberFormat="1" applyFont="1" applyFill="1" applyBorder="1"/>
    <x:xf numFmtId="0" fontId="10" fillId="5" borderId="19" xfId="0" applyNumberFormat="1" applyFont="1" applyFill="1" applyBorder="1"/>
    <x:xf numFmtId="0" fontId="10" fillId="5" borderId="20" xfId="0" applyNumberFormat="1" applyFont="1" applyFill="1" applyBorder="1"/>
    <x:xf numFmtId="0" fontId="10" fillId="5" borderId="21" xfId="0" applyNumberFormat="1" applyFont="1" applyFill="1" applyBorder="1"/>
    <x:xf numFmtId="0" fontId="10" fillId="5" borderId="22" xfId="0" applyNumberFormat="1" applyFont="1" applyFill="1" applyBorder="1"/>
    <x:xf numFmtId="0" fontId="10" fillId="5" borderId="33" xfId="0" applyNumberFormat="1" applyFont="1" applyFill="1" applyBorder="1"/>
    <x:xf numFmtId="0" fontId="10" fillId="5" borderId="23" xfId="0" applyNumberFormat="1" applyFont="1" applyFill="1" applyBorder="1"/>
    <x:xf numFmtId="201" fontId="10" fillId="5" borderId="12" xfId="0" applyNumberFormat="1" applyFont="1" applyFill="1" applyBorder="1"/>
    <x:xf numFmtId="201" fontId="10" fillId="5" borderId="30" xfId="0" applyNumberFormat="1" applyFont="1" applyFill="1" applyBorder="1"/>
    <x:xf numFmtId="201" fontId="10" fillId="5" borderId="13" xfId="0" applyNumberFormat="1" applyFont="1" applyFill="1" applyBorder="1"/>
    <x:xf numFmtId="201" fontId="10" fillId="5" borderId="14" xfId="0" applyNumberFormat="1" applyFont="1" applyFill="1" applyBorder="1"/>
    <x:xf numFmtId="201" fontId="10" fillId="5" borderId="0" xfId="0" applyNumberFormat="1" applyFont="1" applyFill="1" applyBorder="1"/>
    <x:xf numFmtId="201" fontId="10" fillId="5" borderId="15" xfId="0" applyNumberFormat="1" applyFont="1" applyFill="1" applyBorder="1"/>
    <x:xf numFmtId="201" fontId="10" fillId="5" borderId="16" xfId="0" applyNumberFormat="1" applyFont="1" applyFill="1" applyBorder="1"/>
    <x:xf numFmtId="201" fontId="10" fillId="5" borderId="31" xfId="0" applyNumberFormat="1" applyFont="1" applyFill="1" applyBorder="1"/>
    <x:xf numFmtId="201" fontId="10" fillId="5" borderId="17" xfId="0" applyNumberFormat="1" applyFont="1" applyFill="1" applyBorder="1"/>
    <x:xf numFmtId="201" fontId="10" fillId="5" borderId="18" xfId="0" applyNumberFormat="1" applyFont="1" applyFill="1" applyBorder="1"/>
    <x:xf numFmtId="201" fontId="10" fillId="5" borderId="32" xfId="0" applyNumberFormat="1" applyFont="1" applyFill="1" applyBorder="1"/>
    <x:xf numFmtId="201" fontId="10" fillId="5" borderId="19" xfId="0" applyNumberFormat="1" applyFont="1" applyFill="1" applyBorder="1"/>
    <x:xf numFmtId="201" fontId="10" fillId="5" borderId="20" xfId="0" applyNumberFormat="1" applyFont="1" applyFill="1" applyBorder="1"/>
    <x:xf numFmtId="201" fontId="10" fillId="5" borderId="1" xfId="0" applyNumberFormat="1" applyFont="1" applyFill="1" applyBorder="1"/>
    <x:xf numFmtId="201" fontId="10" fillId="5" borderId="21" xfId="0" applyNumberFormat="1" applyFont="1" applyFill="1" applyBorder="1"/>
    <x:xf numFmtId="201" fontId="10" fillId="5" borderId="22" xfId="0" applyNumberFormat="1" applyFont="1" applyFill="1" applyBorder="1"/>
    <x:xf numFmtId="201" fontId="10" fillId="5" borderId="33" xfId="0" applyNumberFormat="1" applyFont="1" applyFill="1" applyBorder="1"/>
    <x:xf numFmtId="201" fontId="10" fillId="5" borderId="23" xfId="0" applyNumberFormat="1" applyFont="1" applyFill="1" applyBorder="1"/>
    <x:xf numFmtId="201" fontId="10" fillId="5" borderId="12" xfId="0" applyNumberFormat="1" applyFont="1" applyFill="1" applyBorder="1" applyAlignment="1">
      <x:alignment horizontal="center"/>
    </x:xf>
    <x:xf numFmtId="201" fontId="10" fillId="5" borderId="30" xfId="0" applyNumberFormat="1" applyFont="1" applyFill="1" applyBorder="1" applyAlignment="1">
      <x:alignment horizontal="center"/>
    </x:xf>
    <x:xf numFmtId="201" fontId="10" fillId="5" borderId="13" xfId="0" applyNumberFormat="1" applyFont="1" applyFill="1" applyBorder="1" applyAlignment="1">
      <x:alignment horizontal="center"/>
    </x:xf>
    <x:xf numFmtId="201" fontId="10" fillId="5" borderId="14" xfId="0" applyNumberFormat="1" applyFont="1" applyFill="1" applyBorder="1" applyAlignment="1">
      <x:alignment horizontal="center"/>
    </x:xf>
    <x:xf numFmtId="201" fontId="10" fillId="5" borderId="0" xfId="0" applyNumberFormat="1" applyFont="1" applyFill="1" applyBorder="1" applyAlignment="1">
      <x:alignment horizontal="center"/>
    </x:xf>
    <x:xf numFmtId="201" fontId="10" fillId="5" borderId="15" xfId="0" applyNumberFormat="1" applyFont="1" applyFill="1" applyBorder="1" applyAlignment="1">
      <x:alignment horizontal="center"/>
    </x:xf>
    <x:xf numFmtId="201" fontId="10" fillId="5" borderId="16" xfId="0" applyNumberFormat="1" applyFont="1" applyFill="1" applyBorder="1" applyAlignment="1">
      <x:alignment horizontal="center"/>
    </x:xf>
    <x:xf numFmtId="201" fontId="10" fillId="5" borderId="31" xfId="0" applyNumberFormat="1" applyFont="1" applyFill="1" applyBorder="1" applyAlignment="1">
      <x:alignment horizontal="center"/>
    </x:xf>
    <x:xf numFmtId="201" fontId="10" fillId="5" borderId="17" xfId="0" applyNumberFormat="1" applyFont="1" applyFill="1" applyBorder="1" applyAlignment="1">
      <x:alignment horizontal="center"/>
    </x:xf>
    <x:xf numFmtId="201" fontId="10" fillId="5" borderId="18" xfId="0" applyNumberFormat="1" applyFont="1" applyFill="1" applyBorder="1" applyAlignment="1">
      <x:alignment horizontal="center"/>
    </x:xf>
    <x:xf numFmtId="201" fontId="10" fillId="5" borderId="32" xfId="0" applyNumberFormat="1" applyFont="1" applyFill="1" applyBorder="1" applyAlignment="1">
      <x:alignment horizontal="center"/>
    </x:xf>
    <x:xf numFmtId="201" fontId="10" fillId="5" borderId="19" xfId="0" applyNumberFormat="1" applyFont="1" applyFill="1" applyBorder="1" applyAlignment="1">
      <x:alignment horizontal="center"/>
    </x:xf>
    <x:xf numFmtId="201" fontId="10" fillId="5" borderId="20" xfId="0" applyNumberFormat="1" applyFont="1" applyFill="1" applyBorder="1" applyAlignment="1">
      <x:alignment horizontal="center"/>
    </x:xf>
    <x:xf numFmtId="201" fontId="10" fillId="5" borderId="1" xfId="0" applyNumberFormat="1" applyFont="1" applyFill="1" applyBorder="1" applyAlignment="1">
      <x:alignment horizontal="center"/>
    </x:xf>
    <x:xf numFmtId="201" fontId="10" fillId="5" borderId="21" xfId="0" applyNumberFormat="1" applyFont="1" applyFill="1" applyBorder="1" applyAlignment="1">
      <x:alignment horizontal="center"/>
    </x:xf>
    <x:xf numFmtId="201" fontId="10" fillId="5" borderId="22" xfId="0" applyNumberFormat="1" applyFont="1" applyFill="1" applyBorder="1" applyAlignment="1">
      <x:alignment horizontal="center"/>
    </x:xf>
    <x:xf numFmtId="201" fontId="10" fillId="5" borderId="33" xfId="0" applyNumberFormat="1" applyFont="1" applyFill="1" applyBorder="1" applyAlignment="1">
      <x:alignment horizontal="center"/>
    </x:xf>
    <x:xf numFmtId="201" fontId="10" fillId="5" borderId="23" xfId="0" applyNumberFormat="1" applyFont="1" applyFill="1" applyBorder="1" applyAlignment="1">
      <x:alignment horizontal="center"/>
    </x:xf>
    <x:xf numFmtId="201" fontId="10" fillId="5" borderId="12" xfId="0" applyNumberFormat="1" applyFont="1" applyFill="1" applyBorder="1" applyAlignment="1">
      <x:alignment horizontal="center" vertical="center"/>
    </x:xf>
    <x:xf numFmtId="201" fontId="10" fillId="5" borderId="30" xfId="0" applyNumberFormat="1" applyFont="1" applyFill="1" applyBorder="1" applyAlignment="1">
      <x:alignment horizontal="center" vertical="center"/>
    </x:xf>
    <x:xf numFmtId="201" fontId="10" fillId="5" borderId="13" xfId="0" applyNumberFormat="1" applyFont="1" applyFill="1" applyBorder="1" applyAlignment="1">
      <x:alignment horizontal="center" vertical="center"/>
    </x:xf>
    <x:xf numFmtId="201" fontId="10" fillId="5" borderId="14" xfId="0" applyNumberFormat="1" applyFont="1" applyFill="1" applyBorder="1" applyAlignment="1">
      <x:alignment horizontal="center" vertical="center"/>
    </x:xf>
    <x:xf numFmtId="201" fontId="10" fillId="5" borderId="0" xfId="0" applyNumberFormat="1" applyFont="1" applyFill="1" applyBorder="1" applyAlignment="1">
      <x:alignment horizontal="center" vertical="center"/>
    </x:xf>
    <x:xf numFmtId="201" fontId="10" fillId="5" borderId="15" xfId="0" applyNumberFormat="1" applyFont="1" applyFill="1" applyBorder="1" applyAlignment="1">
      <x:alignment horizontal="center" vertical="center"/>
    </x:xf>
    <x:xf numFmtId="201" fontId="10" fillId="5" borderId="16" xfId="0" applyNumberFormat="1" applyFont="1" applyFill="1" applyBorder="1" applyAlignment="1">
      <x:alignment horizontal="center" vertical="center"/>
    </x:xf>
    <x:xf numFmtId="201" fontId="10" fillId="5" borderId="31" xfId="0" applyNumberFormat="1" applyFont="1" applyFill="1" applyBorder="1" applyAlignment="1">
      <x:alignment horizontal="center" vertical="center"/>
    </x:xf>
    <x:xf numFmtId="201" fontId="10" fillId="5" borderId="17" xfId="0" applyNumberFormat="1" applyFont="1" applyFill="1" applyBorder="1" applyAlignment="1">
      <x:alignment horizontal="center" vertical="center"/>
    </x:xf>
    <x:xf numFmtId="201" fontId="10" fillId="5" borderId="18" xfId="0" applyNumberFormat="1" applyFont="1" applyFill="1" applyBorder="1" applyAlignment="1">
      <x:alignment horizontal="center" vertical="center"/>
    </x:xf>
    <x:xf numFmtId="201" fontId="10" fillId="5" borderId="32" xfId="0" applyNumberFormat="1" applyFont="1" applyFill="1" applyBorder="1" applyAlignment="1">
      <x:alignment horizontal="center" vertical="center"/>
    </x:xf>
    <x:xf numFmtId="201" fontId="10" fillId="5" borderId="19" xfId="0" applyNumberFormat="1" applyFont="1" applyFill="1" applyBorder="1" applyAlignment="1">
      <x:alignment horizontal="center" vertical="center"/>
    </x:xf>
    <x:xf numFmtId="201" fontId="10" fillId="5" borderId="20" xfId="0" applyNumberFormat="1" applyFont="1" applyFill="1" applyBorder="1" applyAlignment="1">
      <x:alignment horizontal="center" vertical="center"/>
    </x:xf>
    <x:xf numFmtId="201" fontId="10" fillId="5" borderId="1" xfId="0" applyNumberFormat="1" applyFont="1" applyFill="1" applyBorder="1" applyAlignment="1">
      <x:alignment horizontal="center" vertical="center"/>
    </x:xf>
    <x:xf numFmtId="201" fontId="10" fillId="5" borderId="21" xfId="0" applyNumberFormat="1" applyFont="1" applyFill="1" applyBorder="1" applyAlignment="1">
      <x:alignment horizontal="center" vertical="center"/>
    </x:xf>
    <x:xf numFmtId="201" fontId="10" fillId="5" borderId="22" xfId="0" applyNumberFormat="1" applyFont="1" applyFill="1" applyBorder="1" applyAlignment="1">
      <x:alignment horizontal="center" vertical="center"/>
    </x:xf>
    <x:xf numFmtId="201" fontId="10" fillId="5" borderId="33" xfId="0" applyNumberFormat="1" applyFont="1" applyFill="1" applyBorder="1" applyAlignment="1">
      <x:alignment horizontal="center" vertical="center"/>
    </x:xf>
    <x:xf numFmtId="201" fontId="10" fillId="5" borderId="23" xfId="0" applyNumberFormat="1" applyFont="1" applyFill="1" applyBorder="1" applyAlignment="1">
      <x:alignment horizontal="center" vertical="center"/>
    </x:xf>
    <x:xf numFmtId="0" fontId="9" fillId="3" borderId="0" xfId="0" applyNumberFormat="1" applyFont="1" applyFill="1" applyBorder="1"/>
    <x:xf numFmtId="0" fontId="9" fillId="3" borderId="1" xfId="0" applyNumberFormat="1" applyFont="1" applyFill="1" applyBorder="1"/>
    <x:xf numFmtId="0" fontId="9" fillId="3" borderId="24" xfId="0" applyNumberFormat="1" applyFont="1" applyFill="1" applyBorder="1"/>
    <x:xf numFmtId="0" fontId="9" fillId="3" borderId="25" xfId="0" applyNumberFormat="1" applyFont="1" applyFill="1" applyBorder="1"/>
    <x:xf numFmtId="0" fontId="9" fillId="3" borderId="26" xfId="0" applyNumberFormat="1" applyFont="1" applyFill="1" applyBorder="1"/>
    <x:xf numFmtId="0" fontId="9" fillId="3" borderId="27" xfId="0" applyNumberFormat="1" applyFont="1" applyFill="1" applyBorder="1"/>
    <x:xf numFmtId="0" fontId="9" fillId="3" borderId="28" xfId="0" applyNumberFormat="1" applyFont="1" applyFill="1" applyBorder="1"/>
    <x:xf numFmtId="0" fontId="9" fillId="3" borderId="29" xfId="0" applyNumberFormat="1" applyFont="1" applyFill="1" applyBorder="1"/>
    <x:xf numFmtId="0" fontId="9" fillId="3" borderId="24" xfId="0" applyNumberFormat="1" applyFont="1" applyFill="1" applyBorder="1" applyAlignment="1">
      <x:alignment horizontal="center"/>
    </x:xf>
    <x:xf numFmtId="0" fontId="9" fillId="3" borderId="25" xfId="0" applyNumberFormat="1" applyFont="1" applyFill="1" applyBorder="1" applyAlignment="1">
      <x:alignment horizontal="center"/>
    </x:xf>
    <x:xf numFmtId="0" fontId="9" fillId="3" borderId="26" xfId="0" applyNumberFormat="1" applyFont="1" applyFill="1" applyBorder="1" applyAlignment="1">
      <x:alignment horizontal="center"/>
    </x:xf>
    <x:xf numFmtId="0" fontId="9" fillId="3" borderId="27" xfId="0" applyNumberFormat="1" applyFont="1" applyFill="1" applyBorder="1" applyAlignment="1">
      <x:alignment horizontal="center"/>
    </x:xf>
    <x:xf numFmtId="0" fontId="9" fillId="3" borderId="28" xfId="0" applyNumberFormat="1" applyFont="1" applyFill="1" applyBorder="1" applyAlignment="1">
      <x:alignment horizontal="center"/>
    </x:xf>
    <x:xf numFmtId="0" fontId="9" fillId="3" borderId="29" xfId="0" applyNumberFormat="1" applyFont="1" applyFill="1" applyBorder="1" applyAlignment="1">
      <x:alignment horizontal="center"/>
    </x:xf>
    <x:xf numFmtId="0" fontId="9" fillId="3" borderId="24" xfId="0" applyNumberFormat="1" applyFont="1" applyFill="1" applyBorder="1" applyAlignment="1">
      <x:alignment horizontal="center" vertical="center"/>
    </x:xf>
    <x:xf numFmtId="0" fontId="9" fillId="3" borderId="25" xfId="0" applyNumberFormat="1" applyFont="1" applyFill="1" applyBorder="1" applyAlignment="1">
      <x:alignment horizontal="center" vertical="center"/>
    </x:xf>
    <x:xf numFmtId="0" fontId="9" fillId="3" borderId="26" xfId="0" applyNumberFormat="1" applyFont="1" applyFill="1" applyBorder="1" applyAlignment="1">
      <x:alignment horizontal="center" vertical="center"/>
    </x:xf>
    <x:xf numFmtId="0" fontId="9" fillId="3" borderId="27" xfId="0" applyNumberFormat="1" applyFont="1" applyFill="1" applyBorder="1" applyAlignment="1">
      <x:alignment horizontal="center" vertical="center"/>
    </x:xf>
    <x:xf numFmtId="0" fontId="9" fillId="3" borderId="28" xfId="0" applyNumberFormat="1" applyFont="1" applyFill="1" applyBorder="1" applyAlignment="1">
      <x:alignment horizontal="center" vertical="center"/>
    </x:xf>
    <x:xf numFmtId="0" fontId="9" fillId="3" borderId="29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9" fillId="7" borderId="0" xfId="0" applyNumberFormat="1" applyFont="1" applyFill="1" applyBorder="1"/>
    <x:xf numFmtId="0" fontId="9" fillId="7" borderId="1" xfId="0" applyNumberFormat="1" applyFont="1" applyFill="1" applyBorder="1"/>
    <x:xf numFmtId="0" fontId="9" fillId="7" borderId="24" xfId="0" applyNumberFormat="1" applyFont="1" applyFill="1" applyBorder="1"/>
    <x:xf numFmtId="0" fontId="9" fillId="7" borderId="25" xfId="0" applyNumberFormat="1" applyFont="1" applyFill="1" applyBorder="1"/>
    <x:xf numFmtId="0" fontId="9" fillId="7" borderId="26" xfId="0" applyNumberFormat="1" applyFont="1" applyFill="1" applyBorder="1"/>
    <x:xf numFmtId="0" fontId="9" fillId="7" borderId="27" xfId="0" applyNumberFormat="1" applyFont="1" applyFill="1" applyBorder="1"/>
    <x:xf numFmtId="0" fontId="9" fillId="7" borderId="28" xfId="0" applyNumberFormat="1" applyFont="1" applyFill="1" applyBorder="1"/>
    <x:xf numFmtId="0" fontId="9" fillId="7" borderId="29" xfId="0" applyNumberFormat="1" applyFont="1" applyFill="1" applyBorder="1"/>
    <x:xf numFmtId="0" fontId="9" fillId="7" borderId="24" xfId="0" applyNumberFormat="1" applyFont="1" applyFill="1" applyBorder="1" applyAlignment="1">
      <x:alignment horizontal="center"/>
    </x:xf>
    <x:xf numFmtId="0" fontId="9" fillId="7" borderId="25" xfId="0" applyNumberFormat="1" applyFont="1" applyFill="1" applyBorder="1" applyAlignment="1">
      <x:alignment horizontal="center"/>
    </x:xf>
    <x:xf numFmtId="0" fontId="9" fillId="7" borderId="26" xfId="0" applyNumberFormat="1" applyFont="1" applyFill="1" applyBorder="1" applyAlignment="1">
      <x:alignment horizontal="center"/>
    </x:xf>
    <x:xf numFmtId="0" fontId="9" fillId="7" borderId="27" xfId="0" applyNumberFormat="1" applyFont="1" applyFill="1" applyBorder="1" applyAlignment="1">
      <x:alignment horizontal="center"/>
    </x:xf>
    <x:xf numFmtId="0" fontId="9" fillId="7" borderId="28" xfId="0" applyNumberFormat="1" applyFont="1" applyFill="1" applyBorder="1" applyAlignment="1">
      <x:alignment horizontal="center"/>
    </x:xf>
    <x:xf numFmtId="0" fontId="9" fillId="7" borderId="29" xfId="0" applyNumberFormat="1" applyFont="1" applyFill="1" applyBorder="1" applyAlignment="1">
      <x:alignment horizontal="center"/>
    </x:xf>
    <x:xf numFmtId="0" fontId="9" fillId="7" borderId="24" xfId="0" applyNumberFormat="1" applyFont="1" applyFill="1" applyBorder="1" applyAlignment="1">
      <x:alignment horizontal="center" vertical="center"/>
    </x:xf>
    <x:xf numFmtId="0" fontId="9" fillId="7" borderId="25" xfId="0" applyNumberFormat="1" applyFont="1" applyFill="1" applyBorder="1" applyAlignment="1">
      <x:alignment horizontal="center" vertical="center"/>
    </x:xf>
    <x:xf numFmtId="0" fontId="9" fillId="7" borderId="26" xfId="0" applyNumberFormat="1" applyFont="1" applyFill="1" applyBorder="1" applyAlignment="1">
      <x:alignment horizontal="center" vertical="center"/>
    </x:xf>
    <x:xf numFmtId="0" fontId="9" fillId="7" borderId="27" xfId="0" applyNumberFormat="1" applyFont="1" applyFill="1" applyBorder="1" applyAlignment="1">
      <x:alignment horizontal="center" vertical="center"/>
    </x:xf>
    <x:xf numFmtId="0" fontId="9" fillId="7" borderId="28" xfId="0" applyNumberFormat="1" applyFont="1" applyFill="1" applyBorder="1" applyAlignment="1">
      <x:alignment horizontal="center" vertical="center"/>
    </x:xf>
    <x:xf numFmtId="0" fontId="9" fillId="7" borderId="29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0" fillId="8" borderId="1" xfId="0" applyNumberFormat="1" applyFont="1" applyFill="1" applyBorder="1"/>
    <x:xf numFmtId="0" fontId="11" fillId="8" borderId="0" xfId="0" applyNumberFormat="1" applyFont="1" applyFill="1" applyBorder="1"/>
    <x:xf numFmtId="0" fontId="11" fillId="8" borderId="1" xfId="0" applyNumberFormat="1" applyFont="1" applyFill="1" applyBorder="1"/>
    <x:xf numFmtId="0" fontId="11" fillId="8" borderId="12" xfId="0" applyNumberFormat="1" applyFont="1" applyFill="1" applyBorder="1"/>
    <x:xf numFmtId="0" fontId="11" fillId="8" borderId="30" xfId="0" applyNumberFormat="1" applyFont="1" applyFill="1" applyBorder="1"/>
    <x:xf numFmtId="0" fontId="11" fillId="8" borderId="13" xfId="0" applyNumberFormat="1" applyFont="1" applyFill="1" applyBorder="1"/>
    <x:xf numFmtId="0" fontId="11" fillId="8" borderId="14" xfId="0" applyNumberFormat="1" applyFont="1" applyFill="1" applyBorder="1"/>
    <x:xf numFmtId="0" fontId="11" fillId="8" borderId="15" xfId="0" applyNumberFormat="1" applyFont="1" applyFill="1" applyBorder="1"/>
    <x:xf numFmtId="0" fontId="11" fillId="8" borderId="16" xfId="0" applyNumberFormat="1" applyFont="1" applyFill="1" applyBorder="1"/>
    <x:xf numFmtId="0" fontId="11" fillId="8" borderId="31" xfId="0" applyNumberFormat="1" applyFont="1" applyFill="1" applyBorder="1"/>
    <x:xf numFmtId="0" fontId="11" fillId="8" borderId="17" xfId="0" applyNumberFormat="1" applyFont="1" applyFill="1" applyBorder="1"/>
    <x:xf numFmtId="0" fontId="11" fillId="8" borderId="18" xfId="0" applyNumberFormat="1" applyFont="1" applyFill="1" applyBorder="1"/>
    <x:xf numFmtId="0" fontId="11" fillId="8" borderId="32" xfId="0" applyNumberFormat="1" applyFont="1" applyFill="1" applyBorder="1"/>
    <x:xf numFmtId="0" fontId="11" fillId="8" borderId="19" xfId="0" applyNumberFormat="1" applyFont="1" applyFill="1" applyBorder="1"/>
    <x:xf numFmtId="0" fontId="11" fillId="8" borderId="20" xfId="0" applyNumberFormat="1" applyFont="1" applyFill="1" applyBorder="1"/>
    <x:xf numFmtId="0" fontId="11" fillId="8" borderId="21" xfId="0" applyNumberFormat="1" applyFont="1" applyFill="1" applyBorder="1"/>
    <x:xf numFmtId="0" fontId="11" fillId="8" borderId="22" xfId="0" applyNumberFormat="1" applyFont="1" applyFill="1" applyBorder="1"/>
    <x:xf numFmtId="0" fontId="11" fillId="8" borderId="33" xfId="0" applyNumberFormat="1" applyFont="1" applyFill="1" applyBorder="1"/>
    <x:xf numFmtId="0" fontId="11" fillId="8" borderId="23" xfId="0" applyNumberFormat="1" applyFont="1" applyFill="1" applyBorder="1"/>
    <x:xf numFmtId="201" fontId="11" fillId="8" borderId="12" xfId="0" applyNumberFormat="1" applyFont="1" applyFill="1" applyBorder="1"/>
    <x:xf numFmtId="201" fontId="11" fillId="8" borderId="30" xfId="0" applyNumberFormat="1" applyFont="1" applyFill="1" applyBorder="1"/>
    <x:xf numFmtId="201" fontId="11" fillId="8" borderId="13" xfId="0" applyNumberFormat="1" applyFont="1" applyFill="1" applyBorder="1"/>
    <x:xf numFmtId="201" fontId="11" fillId="8" borderId="14" xfId="0" applyNumberFormat="1" applyFont="1" applyFill="1" applyBorder="1"/>
    <x:xf numFmtId="201" fontId="11" fillId="8" borderId="0" xfId="0" applyNumberFormat="1" applyFont="1" applyFill="1" applyBorder="1"/>
    <x:xf numFmtId="201" fontId="11" fillId="8" borderId="15" xfId="0" applyNumberFormat="1" applyFont="1" applyFill="1" applyBorder="1"/>
    <x:xf numFmtId="201" fontId="11" fillId="8" borderId="16" xfId="0" applyNumberFormat="1" applyFont="1" applyFill="1" applyBorder="1"/>
    <x:xf numFmtId="201" fontId="11" fillId="8" borderId="31" xfId="0" applyNumberFormat="1" applyFont="1" applyFill="1" applyBorder="1"/>
    <x:xf numFmtId="201" fontId="11" fillId="8" borderId="17" xfId="0" applyNumberFormat="1" applyFont="1" applyFill="1" applyBorder="1"/>
    <x:xf numFmtId="201" fontId="11" fillId="8" borderId="18" xfId="0" applyNumberFormat="1" applyFont="1" applyFill="1" applyBorder="1"/>
    <x:xf numFmtId="201" fontId="11" fillId="8" borderId="32" xfId="0" applyNumberFormat="1" applyFont="1" applyFill="1" applyBorder="1"/>
    <x:xf numFmtId="201" fontId="11" fillId="8" borderId="19" xfId="0" applyNumberFormat="1" applyFont="1" applyFill="1" applyBorder="1"/>
    <x:xf numFmtId="201" fontId="11" fillId="8" borderId="20" xfId="0" applyNumberFormat="1" applyFont="1" applyFill="1" applyBorder="1"/>
    <x:xf numFmtId="201" fontId="11" fillId="8" borderId="1" xfId="0" applyNumberFormat="1" applyFont="1" applyFill="1" applyBorder="1"/>
    <x:xf numFmtId="201" fontId="11" fillId="8" borderId="21" xfId="0" applyNumberFormat="1" applyFont="1" applyFill="1" applyBorder="1"/>
    <x:xf numFmtId="201" fontId="11" fillId="8" borderId="22" xfId="0" applyNumberFormat="1" applyFont="1" applyFill="1" applyBorder="1"/>
    <x:xf numFmtId="201" fontId="11" fillId="8" borderId="33" xfId="0" applyNumberFormat="1" applyFont="1" applyFill="1" applyBorder="1"/>
    <x:xf numFmtId="201" fontId="11" fillId="8" borderId="23" xfId="0" applyNumberFormat="1" applyFont="1" applyFill="1" applyBorder="1"/>
    <x:xf numFmtId="201" fontId="11" fillId="8" borderId="12" xfId="0" applyNumberFormat="1" applyFont="1" applyFill="1" applyBorder="1" applyAlignment="1">
      <x:alignment horizontal="center"/>
    </x:xf>
    <x:xf numFmtId="201" fontId="11" fillId="8" borderId="30" xfId="0" applyNumberFormat="1" applyFont="1" applyFill="1" applyBorder="1" applyAlignment="1">
      <x:alignment horizontal="center"/>
    </x:xf>
    <x:xf numFmtId="201" fontId="11" fillId="8" borderId="13" xfId="0" applyNumberFormat="1" applyFont="1" applyFill="1" applyBorder="1" applyAlignment="1">
      <x:alignment horizontal="center"/>
    </x:xf>
    <x:xf numFmtId="201" fontId="11" fillId="8" borderId="14" xfId="0" applyNumberFormat="1" applyFont="1" applyFill="1" applyBorder="1" applyAlignment="1">
      <x:alignment horizontal="center"/>
    </x:xf>
    <x:xf numFmtId="201" fontId="11" fillId="8" borderId="0" xfId="0" applyNumberFormat="1" applyFont="1" applyFill="1" applyBorder="1" applyAlignment="1">
      <x:alignment horizontal="center"/>
    </x:xf>
    <x:xf numFmtId="201" fontId="11" fillId="8" borderId="15" xfId="0" applyNumberFormat="1" applyFont="1" applyFill="1" applyBorder="1" applyAlignment="1">
      <x:alignment horizontal="center"/>
    </x:xf>
    <x:xf numFmtId="201" fontId="11" fillId="8" borderId="16" xfId="0" applyNumberFormat="1" applyFont="1" applyFill="1" applyBorder="1" applyAlignment="1">
      <x:alignment horizontal="center"/>
    </x:xf>
    <x:xf numFmtId="201" fontId="11" fillId="8" borderId="31" xfId="0" applyNumberFormat="1" applyFont="1" applyFill="1" applyBorder="1" applyAlignment="1">
      <x:alignment horizontal="center"/>
    </x:xf>
    <x:xf numFmtId="201" fontId="11" fillId="8" borderId="17" xfId="0" applyNumberFormat="1" applyFont="1" applyFill="1" applyBorder="1" applyAlignment="1">
      <x:alignment horizontal="center"/>
    </x:xf>
    <x:xf numFmtId="201" fontId="11" fillId="8" borderId="18" xfId="0" applyNumberFormat="1" applyFont="1" applyFill="1" applyBorder="1" applyAlignment="1">
      <x:alignment horizontal="center"/>
    </x:xf>
    <x:xf numFmtId="201" fontId="11" fillId="8" borderId="32" xfId="0" applyNumberFormat="1" applyFont="1" applyFill="1" applyBorder="1" applyAlignment="1">
      <x:alignment horizontal="center"/>
    </x:xf>
    <x:xf numFmtId="201" fontId="11" fillId="8" borderId="19" xfId="0" applyNumberFormat="1" applyFont="1" applyFill="1" applyBorder="1" applyAlignment="1">
      <x:alignment horizontal="center"/>
    </x:xf>
    <x:xf numFmtId="201" fontId="11" fillId="8" borderId="20" xfId="0" applyNumberFormat="1" applyFont="1" applyFill="1" applyBorder="1" applyAlignment="1">
      <x:alignment horizontal="center"/>
    </x:xf>
    <x:xf numFmtId="201" fontId="11" fillId="8" borderId="1" xfId="0" applyNumberFormat="1" applyFont="1" applyFill="1" applyBorder="1" applyAlignment="1">
      <x:alignment horizontal="center"/>
    </x:xf>
    <x:xf numFmtId="201" fontId="11" fillId="8" borderId="21" xfId="0" applyNumberFormat="1" applyFont="1" applyFill="1" applyBorder="1" applyAlignment="1">
      <x:alignment horizontal="center"/>
    </x:xf>
    <x:xf numFmtId="201" fontId="11" fillId="8" borderId="22" xfId="0" applyNumberFormat="1" applyFont="1" applyFill="1" applyBorder="1" applyAlignment="1">
      <x:alignment horizontal="center"/>
    </x:xf>
    <x:xf numFmtId="201" fontId="11" fillId="8" borderId="33" xfId="0" applyNumberFormat="1" applyFont="1" applyFill="1" applyBorder="1" applyAlignment="1">
      <x:alignment horizontal="center"/>
    </x:xf>
    <x:xf numFmtId="201" fontId="11" fillId="8" borderId="23" xfId="0" applyNumberFormat="1" applyFont="1" applyFill="1" applyBorder="1" applyAlignment="1">
      <x:alignment horizontal="center"/>
    </x:xf>
    <x:xf numFmtId="201" fontId="11" fillId="8" borderId="12" xfId="0" applyNumberFormat="1" applyFont="1" applyFill="1" applyBorder="1" applyAlignment="1">
      <x:alignment horizontal="center" vertical="center"/>
    </x:xf>
    <x:xf numFmtId="201" fontId="11" fillId="8" borderId="30" xfId="0" applyNumberFormat="1" applyFont="1" applyFill="1" applyBorder="1" applyAlignment="1">
      <x:alignment horizontal="center" vertical="center"/>
    </x:xf>
    <x:xf numFmtId="201" fontId="11" fillId="8" borderId="13" xfId="0" applyNumberFormat="1" applyFont="1" applyFill="1" applyBorder="1" applyAlignment="1">
      <x:alignment horizontal="center" vertical="center"/>
    </x:xf>
    <x:xf numFmtId="201" fontId="11" fillId="8" borderId="14" xfId="0" applyNumberFormat="1" applyFont="1" applyFill="1" applyBorder="1" applyAlignment="1">
      <x:alignment horizontal="center" vertical="center"/>
    </x:xf>
    <x:xf numFmtId="201" fontId="11" fillId="8" borderId="0" xfId="0" applyNumberFormat="1" applyFont="1" applyFill="1" applyBorder="1" applyAlignment="1">
      <x:alignment horizontal="center" vertical="center"/>
    </x:xf>
    <x:xf numFmtId="201" fontId="11" fillId="8" borderId="15" xfId="0" applyNumberFormat="1" applyFont="1" applyFill="1" applyBorder="1" applyAlignment="1">
      <x:alignment horizontal="center" vertical="center"/>
    </x:xf>
    <x:xf numFmtId="201" fontId="11" fillId="8" borderId="16" xfId="0" applyNumberFormat="1" applyFont="1" applyFill="1" applyBorder="1" applyAlignment="1">
      <x:alignment horizontal="center" vertical="center"/>
    </x:xf>
    <x:xf numFmtId="201" fontId="11" fillId="8" borderId="31" xfId="0" applyNumberFormat="1" applyFont="1" applyFill="1" applyBorder="1" applyAlignment="1">
      <x:alignment horizontal="center" vertical="center"/>
    </x:xf>
    <x:xf numFmtId="201" fontId="11" fillId="8" borderId="17" xfId="0" applyNumberFormat="1" applyFont="1" applyFill="1" applyBorder="1" applyAlignment="1">
      <x:alignment horizontal="center" vertical="center"/>
    </x:xf>
    <x:xf numFmtId="201" fontId="11" fillId="8" borderId="18" xfId="0" applyNumberFormat="1" applyFont="1" applyFill="1" applyBorder="1" applyAlignment="1">
      <x:alignment horizontal="center" vertical="center"/>
    </x:xf>
    <x:xf numFmtId="201" fontId="11" fillId="8" borderId="32" xfId="0" applyNumberFormat="1" applyFont="1" applyFill="1" applyBorder="1" applyAlignment="1">
      <x:alignment horizontal="center" vertical="center"/>
    </x:xf>
    <x:xf numFmtId="201" fontId="11" fillId="8" borderId="19" xfId="0" applyNumberFormat="1" applyFont="1" applyFill="1" applyBorder="1" applyAlignment="1">
      <x:alignment horizontal="center" vertical="center"/>
    </x:xf>
    <x:xf numFmtId="201" fontId="11" fillId="8" borderId="20" xfId="0" applyNumberFormat="1" applyFont="1" applyFill="1" applyBorder="1" applyAlignment="1">
      <x:alignment horizontal="center" vertical="center"/>
    </x:xf>
    <x:xf numFmtId="201" fontId="11" fillId="8" borderId="1" xfId="0" applyNumberFormat="1" applyFont="1" applyFill="1" applyBorder="1" applyAlignment="1">
      <x:alignment horizontal="center" vertical="center"/>
    </x:xf>
    <x:xf numFmtId="201" fontId="11" fillId="8" borderId="21" xfId="0" applyNumberFormat="1" applyFont="1" applyFill="1" applyBorder="1" applyAlignment="1">
      <x:alignment horizontal="center" vertical="center"/>
    </x:xf>
    <x:xf numFmtId="201" fontId="11" fillId="8" borderId="22" xfId="0" applyNumberFormat="1" applyFont="1" applyFill="1" applyBorder="1" applyAlignment="1">
      <x:alignment horizontal="center" vertical="center"/>
    </x:xf>
    <x:xf numFmtId="201" fontId="11" fillId="8" borderId="33" xfId="0" applyNumberFormat="1" applyFont="1" applyFill="1" applyBorder="1" applyAlignment="1">
      <x:alignment horizontal="center" vertical="center"/>
    </x:xf>
    <x:xf numFmtId="201" fontId="11" fillId="8" borderId="23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0" fillId="9" borderId="1" xfId="0" applyNumberFormat="1" applyFont="1" applyFill="1" applyBorder="1"/>
    <x:xf numFmtId="0" fontId="9" fillId="9" borderId="0" xfId="0" applyNumberFormat="1" applyFont="1" applyFill="1" applyBorder="1"/>
    <x:xf numFmtId="0" fontId="9" fillId="9" borderId="1" xfId="0" applyNumberFormat="1" applyFont="1" applyFill="1" applyBorder="1"/>
    <x:xf numFmtId="0" fontId="9" fillId="9" borderId="24" xfId="0" applyNumberFormat="1" applyFont="1" applyFill="1" applyBorder="1"/>
    <x:xf numFmtId="0" fontId="9" fillId="9" borderId="25" xfId="0" applyNumberFormat="1" applyFont="1" applyFill="1" applyBorder="1"/>
    <x:xf numFmtId="0" fontId="9" fillId="9" borderId="26" xfId="0" applyNumberFormat="1" applyFont="1" applyFill="1" applyBorder="1"/>
    <x:xf numFmtId="0" fontId="9" fillId="9" borderId="27" xfId="0" applyNumberFormat="1" applyFont="1" applyFill="1" applyBorder="1"/>
    <x:xf numFmtId="0" fontId="9" fillId="9" borderId="28" xfId="0" applyNumberFormat="1" applyFont="1" applyFill="1" applyBorder="1"/>
    <x:xf numFmtId="0" fontId="9" fillId="9" borderId="29" xfId="0" applyNumberFormat="1" applyFont="1" applyFill="1" applyBorder="1"/>
    <x:xf numFmtId="0" fontId="9" fillId="9" borderId="24" xfId="0" applyNumberFormat="1" applyFont="1" applyFill="1" applyBorder="1" applyAlignment="1">
      <x:alignment horizontal="center"/>
    </x:xf>
    <x:xf numFmtId="0" fontId="9" fillId="9" borderId="25" xfId="0" applyNumberFormat="1" applyFont="1" applyFill="1" applyBorder="1" applyAlignment="1">
      <x:alignment horizontal="center"/>
    </x:xf>
    <x:xf numFmtId="0" fontId="9" fillId="9" borderId="26" xfId="0" applyNumberFormat="1" applyFont="1" applyFill="1" applyBorder="1" applyAlignment="1">
      <x:alignment horizontal="center"/>
    </x:xf>
    <x:xf numFmtId="0" fontId="9" fillId="9" borderId="27" xfId="0" applyNumberFormat="1" applyFont="1" applyFill="1" applyBorder="1" applyAlignment="1">
      <x:alignment horizontal="center"/>
    </x:xf>
    <x:xf numFmtId="0" fontId="9" fillId="9" borderId="28" xfId="0" applyNumberFormat="1" applyFont="1" applyFill="1" applyBorder="1" applyAlignment="1">
      <x:alignment horizontal="center"/>
    </x:xf>
    <x:xf numFmtId="0" fontId="9" fillId="9" borderId="29" xfId="0" applyNumberFormat="1" applyFont="1" applyFill="1" applyBorder="1" applyAlignment="1">
      <x:alignment horizontal="center"/>
    </x:xf>
    <x:xf numFmtId="0" fontId="9" fillId="9" borderId="24" xfId="0" applyNumberFormat="1" applyFont="1" applyFill="1" applyBorder="1" applyAlignment="1">
      <x:alignment horizontal="center" vertical="center"/>
    </x:xf>
    <x:xf numFmtId="0" fontId="9" fillId="9" borderId="25" xfId="0" applyNumberFormat="1" applyFont="1" applyFill="1" applyBorder="1" applyAlignment="1">
      <x:alignment horizontal="center" vertical="center"/>
    </x:xf>
    <x:xf numFmtId="0" fontId="9" fillId="9" borderId="26" xfId="0" applyNumberFormat="1" applyFont="1" applyFill="1" applyBorder="1" applyAlignment="1">
      <x:alignment horizontal="center" vertical="center"/>
    </x:xf>
    <x:xf numFmtId="0" fontId="9" fillId="9" borderId="27" xfId="0" applyNumberFormat="1" applyFont="1" applyFill="1" applyBorder="1" applyAlignment="1">
      <x:alignment horizontal="center" vertical="center"/>
    </x:xf>
    <x:xf numFmtId="0" fontId="9" fillId="9" borderId="28" xfId="0" applyNumberFormat="1" applyFont="1" applyFill="1" applyBorder="1" applyAlignment="1">
      <x:alignment horizontal="center" vertical="center"/>
    </x:xf>
    <x:xf numFmtId="0" fontId="9" fillId="9" borderId="29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0" fillId="10" borderId="1" xfId="0" applyNumberFormat="1" applyFont="1" applyFill="1" applyBorder="1"/>
    <x:xf numFmtId="0" fontId="12" fillId="10" borderId="0" xfId="0" applyNumberFormat="1" applyFont="1" applyFill="1" applyBorder="1"/>
    <x:xf numFmtId="0" fontId="12" fillId="10" borderId="1" xfId="0" applyNumberFormat="1" applyFont="1" applyFill="1" applyBorder="1"/>
    <x:xf numFmtId="0" fontId="12" fillId="10" borderId="12" xfId="0" applyNumberFormat="1" applyFont="1" applyFill="1" applyBorder="1"/>
    <x:xf numFmtId="0" fontId="12" fillId="10" borderId="30" xfId="0" applyNumberFormat="1" applyFont="1" applyFill="1" applyBorder="1"/>
    <x:xf numFmtId="0" fontId="12" fillId="10" borderId="13" xfId="0" applyNumberFormat="1" applyFont="1" applyFill="1" applyBorder="1"/>
    <x:xf numFmtId="0" fontId="12" fillId="10" borderId="14" xfId="0" applyNumberFormat="1" applyFont="1" applyFill="1" applyBorder="1"/>
    <x:xf numFmtId="0" fontId="12" fillId="10" borderId="15" xfId="0" applyNumberFormat="1" applyFont="1" applyFill="1" applyBorder="1"/>
    <x:xf numFmtId="0" fontId="12" fillId="10" borderId="16" xfId="0" applyNumberFormat="1" applyFont="1" applyFill="1" applyBorder="1"/>
    <x:xf numFmtId="0" fontId="12" fillId="10" borderId="31" xfId="0" applyNumberFormat="1" applyFont="1" applyFill="1" applyBorder="1"/>
    <x:xf numFmtId="0" fontId="12" fillId="10" borderId="17" xfId="0" applyNumberFormat="1" applyFont="1" applyFill="1" applyBorder="1"/>
    <x:xf numFmtId="0" fontId="12" fillId="10" borderId="18" xfId="0" applyNumberFormat="1" applyFont="1" applyFill="1" applyBorder="1"/>
    <x:xf numFmtId="0" fontId="12" fillId="10" borderId="32" xfId="0" applyNumberFormat="1" applyFont="1" applyFill="1" applyBorder="1"/>
    <x:xf numFmtId="0" fontId="12" fillId="10" borderId="19" xfId="0" applyNumberFormat="1" applyFont="1" applyFill="1" applyBorder="1"/>
    <x:xf numFmtId="0" fontId="12" fillId="10" borderId="20" xfId="0" applyNumberFormat="1" applyFont="1" applyFill="1" applyBorder="1"/>
    <x:xf numFmtId="0" fontId="12" fillId="10" borderId="21" xfId="0" applyNumberFormat="1" applyFont="1" applyFill="1" applyBorder="1"/>
    <x:xf numFmtId="0" fontId="12" fillId="10" borderId="22" xfId="0" applyNumberFormat="1" applyFont="1" applyFill="1" applyBorder="1"/>
    <x:xf numFmtId="0" fontId="12" fillId="10" borderId="33" xfId="0" applyNumberFormat="1" applyFont="1" applyFill="1" applyBorder="1"/>
    <x:xf numFmtId="0" fontId="12" fillId="10" borderId="23" xfId="0" applyNumberFormat="1" applyFont="1" applyFill="1" applyBorder="1"/>
    <x:xf numFmtId="202" fontId="12" fillId="10" borderId="12" xfId="0" applyNumberFormat="1" applyFont="1" applyFill="1" applyBorder="1"/>
    <x:xf numFmtId="202" fontId="12" fillId="10" borderId="30" xfId="0" applyNumberFormat="1" applyFont="1" applyFill="1" applyBorder="1"/>
    <x:xf numFmtId="202" fontId="12" fillId="10" borderId="13" xfId="0" applyNumberFormat="1" applyFont="1" applyFill="1" applyBorder="1"/>
    <x:xf numFmtId="202" fontId="12" fillId="10" borderId="14" xfId="0" applyNumberFormat="1" applyFont="1" applyFill="1" applyBorder="1"/>
    <x:xf numFmtId="202" fontId="12" fillId="10" borderId="0" xfId="0" applyNumberFormat="1" applyFont="1" applyFill="1" applyBorder="1"/>
    <x:xf numFmtId="202" fontId="12" fillId="10" borderId="15" xfId="0" applyNumberFormat="1" applyFont="1" applyFill="1" applyBorder="1"/>
    <x:xf numFmtId="202" fontId="12" fillId="10" borderId="16" xfId="0" applyNumberFormat="1" applyFont="1" applyFill="1" applyBorder="1"/>
    <x:xf numFmtId="202" fontId="12" fillId="10" borderId="31" xfId="0" applyNumberFormat="1" applyFont="1" applyFill="1" applyBorder="1"/>
    <x:xf numFmtId="202" fontId="12" fillId="10" borderId="17" xfId="0" applyNumberFormat="1" applyFont="1" applyFill="1" applyBorder="1"/>
    <x:xf numFmtId="202" fontId="12" fillId="10" borderId="18" xfId="0" applyNumberFormat="1" applyFont="1" applyFill="1" applyBorder="1"/>
    <x:xf numFmtId="202" fontId="12" fillId="10" borderId="32" xfId="0" applyNumberFormat="1" applyFont="1" applyFill="1" applyBorder="1"/>
    <x:xf numFmtId="202" fontId="12" fillId="10" borderId="19" xfId="0" applyNumberFormat="1" applyFont="1" applyFill="1" applyBorder="1"/>
    <x:xf numFmtId="202" fontId="12" fillId="10" borderId="20" xfId="0" applyNumberFormat="1" applyFont="1" applyFill="1" applyBorder="1"/>
    <x:xf numFmtId="202" fontId="12" fillId="10" borderId="1" xfId="0" applyNumberFormat="1" applyFont="1" applyFill="1" applyBorder="1"/>
    <x:xf numFmtId="202" fontId="12" fillId="10" borderId="21" xfId="0" applyNumberFormat="1" applyFont="1" applyFill="1" applyBorder="1"/>
    <x:xf numFmtId="202" fontId="12" fillId="10" borderId="22" xfId="0" applyNumberFormat="1" applyFont="1" applyFill="1" applyBorder="1"/>
    <x:xf numFmtId="202" fontId="12" fillId="10" borderId="33" xfId="0" applyNumberFormat="1" applyFont="1" applyFill="1" applyBorder="1"/>
    <x:xf numFmtId="202" fontId="12" fillId="10" borderId="23" xfId="0" applyNumberFormat="1" applyFont="1" applyFill="1" applyBorder="1"/>
    <x:xf numFmtId="202" fontId="12" fillId="10" borderId="12" xfId="0" applyNumberFormat="1" applyFont="1" applyFill="1" applyBorder="1" applyAlignment="1">
      <x:alignment horizontal="center"/>
    </x:xf>
    <x:xf numFmtId="202" fontId="12" fillId="10" borderId="30" xfId="0" applyNumberFormat="1" applyFont="1" applyFill="1" applyBorder="1" applyAlignment="1">
      <x:alignment horizontal="center"/>
    </x:xf>
    <x:xf numFmtId="202" fontId="12" fillId="10" borderId="13" xfId="0" applyNumberFormat="1" applyFont="1" applyFill="1" applyBorder="1" applyAlignment="1">
      <x:alignment horizontal="center"/>
    </x:xf>
    <x:xf numFmtId="202" fontId="12" fillId="10" borderId="14" xfId="0" applyNumberFormat="1" applyFont="1" applyFill="1" applyBorder="1" applyAlignment="1">
      <x:alignment horizontal="center"/>
    </x:xf>
    <x:xf numFmtId="202" fontId="12" fillId="10" borderId="0" xfId="0" applyNumberFormat="1" applyFont="1" applyFill="1" applyBorder="1" applyAlignment="1">
      <x:alignment horizontal="center"/>
    </x:xf>
    <x:xf numFmtId="202" fontId="12" fillId="10" borderId="15" xfId="0" applyNumberFormat="1" applyFont="1" applyFill="1" applyBorder="1" applyAlignment="1">
      <x:alignment horizontal="center"/>
    </x:xf>
    <x:xf numFmtId="202" fontId="12" fillId="10" borderId="16" xfId="0" applyNumberFormat="1" applyFont="1" applyFill="1" applyBorder="1" applyAlignment="1">
      <x:alignment horizontal="center"/>
    </x:xf>
    <x:xf numFmtId="202" fontId="12" fillId="10" borderId="31" xfId="0" applyNumberFormat="1" applyFont="1" applyFill="1" applyBorder="1" applyAlignment="1">
      <x:alignment horizontal="center"/>
    </x:xf>
    <x:xf numFmtId="202" fontId="12" fillId="10" borderId="17" xfId="0" applyNumberFormat="1" applyFont="1" applyFill="1" applyBorder="1" applyAlignment="1">
      <x:alignment horizontal="center"/>
    </x:xf>
    <x:xf numFmtId="202" fontId="12" fillId="10" borderId="18" xfId="0" applyNumberFormat="1" applyFont="1" applyFill="1" applyBorder="1" applyAlignment="1">
      <x:alignment horizontal="center"/>
    </x:xf>
    <x:xf numFmtId="202" fontId="12" fillId="10" borderId="32" xfId="0" applyNumberFormat="1" applyFont="1" applyFill="1" applyBorder="1" applyAlignment="1">
      <x:alignment horizontal="center"/>
    </x:xf>
    <x:xf numFmtId="202" fontId="12" fillId="10" borderId="19" xfId="0" applyNumberFormat="1" applyFont="1" applyFill="1" applyBorder="1" applyAlignment="1">
      <x:alignment horizontal="center"/>
    </x:xf>
    <x:xf numFmtId="202" fontId="12" fillId="10" borderId="20" xfId="0" applyNumberFormat="1" applyFont="1" applyFill="1" applyBorder="1" applyAlignment="1">
      <x:alignment horizontal="center"/>
    </x:xf>
    <x:xf numFmtId="202" fontId="12" fillId="10" borderId="1" xfId="0" applyNumberFormat="1" applyFont="1" applyFill="1" applyBorder="1" applyAlignment="1">
      <x:alignment horizontal="center"/>
    </x:xf>
    <x:xf numFmtId="202" fontId="12" fillId="10" borderId="21" xfId="0" applyNumberFormat="1" applyFont="1" applyFill="1" applyBorder="1" applyAlignment="1">
      <x:alignment horizontal="center"/>
    </x:xf>
    <x:xf numFmtId="202" fontId="12" fillId="10" borderId="22" xfId="0" applyNumberFormat="1" applyFont="1" applyFill="1" applyBorder="1" applyAlignment="1">
      <x:alignment horizontal="center"/>
    </x:xf>
    <x:xf numFmtId="202" fontId="12" fillId="10" borderId="33" xfId="0" applyNumberFormat="1" applyFont="1" applyFill="1" applyBorder="1" applyAlignment="1">
      <x:alignment horizontal="center"/>
    </x:xf>
    <x:xf numFmtId="202" fontId="12" fillId="10" borderId="23" xfId="0" applyNumberFormat="1" applyFont="1" applyFill="1" applyBorder="1" applyAlignment="1">
      <x:alignment horizontal="center"/>
    </x:xf>
    <x:xf numFmtId="202" fontId="12" fillId="10" borderId="12" xfId="0" applyNumberFormat="1" applyFont="1" applyFill="1" applyBorder="1" applyAlignment="1">
      <x:alignment horizontal="center" vertical="center"/>
    </x:xf>
    <x:xf numFmtId="202" fontId="12" fillId="10" borderId="30" xfId="0" applyNumberFormat="1" applyFont="1" applyFill="1" applyBorder="1" applyAlignment="1">
      <x:alignment horizontal="center" vertical="center"/>
    </x:xf>
    <x:xf numFmtId="202" fontId="12" fillId="10" borderId="13" xfId="0" applyNumberFormat="1" applyFont="1" applyFill="1" applyBorder="1" applyAlignment="1">
      <x:alignment horizontal="center" vertical="center"/>
    </x:xf>
    <x:xf numFmtId="202" fontId="12" fillId="10" borderId="14" xfId="0" applyNumberFormat="1" applyFont="1" applyFill="1" applyBorder="1" applyAlignment="1">
      <x:alignment horizontal="center" vertical="center"/>
    </x:xf>
    <x:xf numFmtId="202" fontId="12" fillId="10" borderId="0" xfId="0" applyNumberFormat="1" applyFont="1" applyFill="1" applyBorder="1" applyAlignment="1">
      <x:alignment horizontal="center" vertical="center"/>
    </x:xf>
    <x:xf numFmtId="202" fontId="12" fillId="10" borderId="15" xfId="0" applyNumberFormat="1" applyFont="1" applyFill="1" applyBorder="1" applyAlignment="1">
      <x:alignment horizontal="center" vertical="center"/>
    </x:xf>
    <x:xf numFmtId="202" fontId="12" fillId="10" borderId="16" xfId="0" applyNumberFormat="1" applyFont="1" applyFill="1" applyBorder="1" applyAlignment="1">
      <x:alignment horizontal="center" vertical="center"/>
    </x:xf>
    <x:xf numFmtId="202" fontId="12" fillId="10" borderId="31" xfId="0" applyNumberFormat="1" applyFont="1" applyFill="1" applyBorder="1" applyAlignment="1">
      <x:alignment horizontal="center" vertical="center"/>
    </x:xf>
    <x:xf numFmtId="202" fontId="12" fillId="10" borderId="17" xfId="0" applyNumberFormat="1" applyFont="1" applyFill="1" applyBorder="1" applyAlignment="1">
      <x:alignment horizontal="center" vertical="center"/>
    </x:xf>
    <x:xf numFmtId="202" fontId="12" fillId="10" borderId="18" xfId="0" applyNumberFormat="1" applyFont="1" applyFill="1" applyBorder="1" applyAlignment="1">
      <x:alignment horizontal="center" vertical="center"/>
    </x:xf>
    <x:xf numFmtId="202" fontId="12" fillId="10" borderId="32" xfId="0" applyNumberFormat="1" applyFont="1" applyFill="1" applyBorder="1" applyAlignment="1">
      <x:alignment horizontal="center" vertical="center"/>
    </x:xf>
    <x:xf numFmtId="202" fontId="12" fillId="10" borderId="19" xfId="0" applyNumberFormat="1" applyFont="1" applyFill="1" applyBorder="1" applyAlignment="1">
      <x:alignment horizontal="center" vertical="center"/>
    </x:xf>
    <x:xf numFmtId="202" fontId="12" fillId="10" borderId="20" xfId="0" applyNumberFormat="1" applyFont="1" applyFill="1" applyBorder="1" applyAlignment="1">
      <x:alignment horizontal="center" vertical="center"/>
    </x:xf>
    <x:xf numFmtId="202" fontId="12" fillId="10" borderId="1" xfId="0" applyNumberFormat="1" applyFont="1" applyFill="1" applyBorder="1" applyAlignment="1">
      <x:alignment horizontal="center" vertical="center"/>
    </x:xf>
    <x:xf numFmtId="202" fontId="12" fillId="10" borderId="21" xfId="0" applyNumberFormat="1" applyFont="1" applyFill="1" applyBorder="1" applyAlignment="1">
      <x:alignment horizontal="center" vertical="center"/>
    </x:xf>
    <x:xf numFmtId="202" fontId="12" fillId="10" borderId="22" xfId="0" applyNumberFormat="1" applyFont="1" applyFill="1" applyBorder="1" applyAlignment="1">
      <x:alignment horizontal="center" vertical="center"/>
    </x:xf>
    <x:xf numFmtId="202" fontId="12" fillId="10" borderId="33" xfId="0" applyNumberFormat="1" applyFont="1" applyFill="1" applyBorder="1" applyAlignment="1">
      <x:alignment horizontal="center" vertical="center"/>
    </x:xf>
    <x:xf numFmtId="202" fontId="12" fillId="10" borderId="23" xfId="0" applyNumberFormat="1" applyFont="1" applyFill="1" applyBorder="1" applyAlignment="1">
      <x:alignment horizontal="center" vertical="center"/>
    </x:xf>
    <x:xf numFmtId="0" fontId="13" fillId="5" borderId="0" xfId="0" applyNumberFormat="1" applyFont="1" applyFill="1" applyBorder="1"/>
    <x:xf numFmtId="0" fontId="13" fillId="5" borderId="1" xfId="0" applyNumberFormat="1" applyFont="1" applyFill="1" applyBorder="1"/>
    <x:xf numFmtId="0" fontId="13" fillId="5" borderId="12" xfId="0" applyNumberFormat="1" applyFont="1" applyFill="1" applyBorder="1"/>
    <x:xf numFmtId="0" fontId="13" fillId="5" borderId="30" xfId="0" applyNumberFormat="1" applyFont="1" applyFill="1" applyBorder="1"/>
    <x:xf numFmtId="0" fontId="13" fillId="5" borderId="13" xfId="0" applyNumberFormat="1" applyFont="1" applyFill="1" applyBorder="1"/>
    <x:xf numFmtId="0" fontId="13" fillId="5" borderId="14" xfId="0" applyNumberFormat="1" applyFont="1" applyFill="1" applyBorder="1"/>
    <x:xf numFmtId="0" fontId="13" fillId="5" borderId="15" xfId="0" applyNumberFormat="1" applyFont="1" applyFill="1" applyBorder="1"/>
    <x:xf numFmtId="0" fontId="13" fillId="5" borderId="16" xfId="0" applyNumberFormat="1" applyFont="1" applyFill="1" applyBorder="1"/>
    <x:xf numFmtId="0" fontId="13" fillId="5" borderId="31" xfId="0" applyNumberFormat="1" applyFont="1" applyFill="1" applyBorder="1"/>
    <x:xf numFmtId="0" fontId="13" fillId="5" borderId="17" xfId="0" applyNumberFormat="1" applyFont="1" applyFill="1" applyBorder="1"/>
    <x:xf numFmtId="0" fontId="13" fillId="5" borderId="18" xfId="0" applyNumberFormat="1" applyFont="1" applyFill="1" applyBorder="1"/>
    <x:xf numFmtId="0" fontId="13" fillId="5" borderId="32" xfId="0" applyNumberFormat="1" applyFont="1" applyFill="1" applyBorder="1"/>
    <x:xf numFmtId="0" fontId="13" fillId="5" borderId="19" xfId="0" applyNumberFormat="1" applyFont="1" applyFill="1" applyBorder="1"/>
    <x:xf numFmtId="0" fontId="13" fillId="5" borderId="20" xfId="0" applyNumberFormat="1" applyFont="1" applyFill="1" applyBorder="1"/>
    <x:xf numFmtId="0" fontId="13" fillId="5" borderId="21" xfId="0" applyNumberFormat="1" applyFont="1" applyFill="1" applyBorder="1"/>
    <x:xf numFmtId="0" fontId="13" fillId="5" borderId="22" xfId="0" applyNumberFormat="1" applyFont="1" applyFill="1" applyBorder="1"/>
    <x:xf numFmtId="0" fontId="13" fillId="5" borderId="33" xfId="0" applyNumberFormat="1" applyFont="1" applyFill="1" applyBorder="1"/>
    <x:xf numFmtId="0" fontId="13" fillId="5" borderId="23" xfId="0" applyNumberFormat="1" applyFont="1" applyFill="1" applyBorder="1"/>
    <x:xf numFmtId="203" fontId="13" fillId="5" borderId="12" xfId="0" applyNumberFormat="1" applyFont="1" applyFill="1" applyBorder="1"/>
    <x:xf numFmtId="203" fontId="13" fillId="5" borderId="30" xfId="0" applyNumberFormat="1" applyFont="1" applyFill="1" applyBorder="1"/>
    <x:xf numFmtId="203" fontId="13" fillId="5" borderId="13" xfId="0" applyNumberFormat="1" applyFont="1" applyFill="1" applyBorder="1"/>
    <x:xf numFmtId="203" fontId="13" fillId="5" borderId="14" xfId="0" applyNumberFormat="1" applyFont="1" applyFill="1" applyBorder="1"/>
    <x:xf numFmtId="203" fontId="13" fillId="5" borderId="0" xfId="0" applyNumberFormat="1" applyFont="1" applyFill="1" applyBorder="1"/>
    <x:xf numFmtId="203" fontId="13" fillId="5" borderId="15" xfId="0" applyNumberFormat="1" applyFont="1" applyFill="1" applyBorder="1"/>
    <x:xf numFmtId="203" fontId="13" fillId="5" borderId="16" xfId="0" applyNumberFormat="1" applyFont="1" applyFill="1" applyBorder="1"/>
    <x:xf numFmtId="203" fontId="13" fillId="5" borderId="31" xfId="0" applyNumberFormat="1" applyFont="1" applyFill="1" applyBorder="1"/>
    <x:xf numFmtId="203" fontId="13" fillId="5" borderId="17" xfId="0" applyNumberFormat="1" applyFont="1" applyFill="1" applyBorder="1"/>
    <x:xf numFmtId="203" fontId="13" fillId="5" borderId="18" xfId="0" applyNumberFormat="1" applyFont="1" applyFill="1" applyBorder="1"/>
    <x:xf numFmtId="203" fontId="13" fillId="5" borderId="32" xfId="0" applyNumberFormat="1" applyFont="1" applyFill="1" applyBorder="1"/>
    <x:xf numFmtId="203" fontId="13" fillId="5" borderId="19" xfId="0" applyNumberFormat="1" applyFont="1" applyFill="1" applyBorder="1"/>
    <x:xf numFmtId="203" fontId="13" fillId="5" borderId="20" xfId="0" applyNumberFormat="1" applyFont="1" applyFill="1" applyBorder="1"/>
    <x:xf numFmtId="203" fontId="13" fillId="5" borderId="1" xfId="0" applyNumberFormat="1" applyFont="1" applyFill="1" applyBorder="1"/>
    <x:xf numFmtId="203" fontId="13" fillId="5" borderId="21" xfId="0" applyNumberFormat="1" applyFont="1" applyFill="1" applyBorder="1"/>
    <x:xf numFmtId="203" fontId="13" fillId="5" borderId="22" xfId="0" applyNumberFormat="1" applyFont="1" applyFill="1" applyBorder="1"/>
    <x:xf numFmtId="203" fontId="13" fillId="5" borderId="33" xfId="0" applyNumberFormat="1" applyFont="1" applyFill="1" applyBorder="1"/>
    <x:xf numFmtId="203" fontId="13" fillId="5" borderId="23" xfId="0" applyNumberFormat="1" applyFont="1" applyFill="1" applyBorder="1"/>
    <x:xf numFmtId="203" fontId="13" fillId="5" borderId="12" xfId="0" applyNumberFormat="1" applyFont="1" applyFill="1" applyBorder="1" applyAlignment="1">
      <x:alignment horizontal="center"/>
    </x:xf>
    <x:xf numFmtId="203" fontId="13" fillId="5" borderId="30" xfId="0" applyNumberFormat="1" applyFont="1" applyFill="1" applyBorder="1" applyAlignment="1">
      <x:alignment horizontal="center"/>
    </x:xf>
    <x:xf numFmtId="203" fontId="13" fillId="5" borderId="13" xfId="0" applyNumberFormat="1" applyFont="1" applyFill="1" applyBorder="1" applyAlignment="1">
      <x:alignment horizontal="center"/>
    </x:xf>
    <x:xf numFmtId="203" fontId="13" fillId="5" borderId="14" xfId="0" applyNumberFormat="1" applyFont="1" applyFill="1" applyBorder="1" applyAlignment="1">
      <x:alignment horizontal="center"/>
    </x:xf>
    <x:xf numFmtId="203" fontId="13" fillId="5" borderId="0" xfId="0" applyNumberFormat="1" applyFont="1" applyFill="1" applyBorder="1" applyAlignment="1">
      <x:alignment horizontal="center"/>
    </x:xf>
    <x:xf numFmtId="203" fontId="13" fillId="5" borderId="15" xfId="0" applyNumberFormat="1" applyFont="1" applyFill="1" applyBorder="1" applyAlignment="1">
      <x:alignment horizontal="center"/>
    </x:xf>
    <x:xf numFmtId="203" fontId="13" fillId="5" borderId="16" xfId="0" applyNumberFormat="1" applyFont="1" applyFill="1" applyBorder="1" applyAlignment="1">
      <x:alignment horizontal="center"/>
    </x:xf>
    <x:xf numFmtId="203" fontId="13" fillId="5" borderId="31" xfId="0" applyNumberFormat="1" applyFont="1" applyFill="1" applyBorder="1" applyAlignment="1">
      <x:alignment horizontal="center"/>
    </x:xf>
    <x:xf numFmtId="203" fontId="13" fillId="5" borderId="17" xfId="0" applyNumberFormat="1" applyFont="1" applyFill="1" applyBorder="1" applyAlignment="1">
      <x:alignment horizontal="center"/>
    </x:xf>
    <x:xf numFmtId="203" fontId="13" fillId="5" borderId="18" xfId="0" applyNumberFormat="1" applyFont="1" applyFill="1" applyBorder="1" applyAlignment="1">
      <x:alignment horizontal="center"/>
    </x:xf>
    <x:xf numFmtId="203" fontId="13" fillId="5" borderId="32" xfId="0" applyNumberFormat="1" applyFont="1" applyFill="1" applyBorder="1" applyAlignment="1">
      <x:alignment horizontal="center"/>
    </x:xf>
    <x:xf numFmtId="203" fontId="13" fillId="5" borderId="19" xfId="0" applyNumberFormat="1" applyFont="1" applyFill="1" applyBorder="1" applyAlignment="1">
      <x:alignment horizontal="center"/>
    </x:xf>
    <x:xf numFmtId="203" fontId="13" fillId="5" borderId="20" xfId="0" applyNumberFormat="1" applyFont="1" applyFill="1" applyBorder="1" applyAlignment="1">
      <x:alignment horizontal="center"/>
    </x:xf>
    <x:xf numFmtId="203" fontId="13" fillId="5" borderId="1" xfId="0" applyNumberFormat="1" applyFont="1" applyFill="1" applyBorder="1" applyAlignment="1">
      <x:alignment horizontal="center"/>
    </x:xf>
    <x:xf numFmtId="203" fontId="13" fillId="5" borderId="21" xfId="0" applyNumberFormat="1" applyFont="1" applyFill="1" applyBorder="1" applyAlignment="1">
      <x:alignment horizontal="center"/>
    </x:xf>
    <x:xf numFmtId="203" fontId="13" fillId="5" borderId="22" xfId="0" applyNumberFormat="1" applyFont="1" applyFill="1" applyBorder="1" applyAlignment="1">
      <x:alignment horizontal="center"/>
    </x:xf>
    <x:xf numFmtId="203" fontId="13" fillId="5" borderId="33" xfId="0" applyNumberFormat="1" applyFont="1" applyFill="1" applyBorder="1" applyAlignment="1">
      <x:alignment horizontal="center"/>
    </x:xf>
    <x:xf numFmtId="203" fontId="13" fillId="5" borderId="23" xfId="0" applyNumberFormat="1" applyFont="1" applyFill="1" applyBorder="1" applyAlignment="1">
      <x:alignment horizontal="center"/>
    </x:xf>
    <x:xf numFmtId="203" fontId="13" fillId="5" borderId="12" xfId="0" applyNumberFormat="1" applyFont="1" applyFill="1" applyBorder="1" applyAlignment="1">
      <x:alignment horizontal="center" vertical="center"/>
    </x:xf>
    <x:xf numFmtId="203" fontId="13" fillId="5" borderId="30" xfId="0" applyNumberFormat="1" applyFont="1" applyFill="1" applyBorder="1" applyAlignment="1">
      <x:alignment horizontal="center" vertical="center"/>
    </x:xf>
    <x:xf numFmtId="203" fontId="13" fillId="5" borderId="13" xfId="0" applyNumberFormat="1" applyFont="1" applyFill="1" applyBorder="1" applyAlignment="1">
      <x:alignment horizontal="center" vertical="center"/>
    </x:xf>
    <x:xf numFmtId="203" fontId="13" fillId="5" borderId="14" xfId="0" applyNumberFormat="1" applyFont="1" applyFill="1" applyBorder="1" applyAlignment="1">
      <x:alignment horizontal="center" vertical="center"/>
    </x:xf>
    <x:xf numFmtId="203" fontId="13" fillId="5" borderId="0" xfId="0" applyNumberFormat="1" applyFont="1" applyFill="1" applyBorder="1" applyAlignment="1">
      <x:alignment horizontal="center" vertical="center"/>
    </x:xf>
    <x:xf numFmtId="203" fontId="13" fillId="5" borderId="15" xfId="0" applyNumberFormat="1" applyFont="1" applyFill="1" applyBorder="1" applyAlignment="1">
      <x:alignment horizontal="center" vertical="center"/>
    </x:xf>
    <x:xf numFmtId="203" fontId="13" fillId="5" borderId="16" xfId="0" applyNumberFormat="1" applyFont="1" applyFill="1" applyBorder="1" applyAlignment="1">
      <x:alignment horizontal="center" vertical="center"/>
    </x:xf>
    <x:xf numFmtId="203" fontId="13" fillId="5" borderId="31" xfId="0" applyNumberFormat="1" applyFont="1" applyFill="1" applyBorder="1" applyAlignment="1">
      <x:alignment horizontal="center" vertical="center"/>
    </x:xf>
    <x:xf numFmtId="203" fontId="13" fillId="5" borderId="17" xfId="0" applyNumberFormat="1" applyFont="1" applyFill="1" applyBorder="1" applyAlignment="1">
      <x:alignment horizontal="center" vertical="center"/>
    </x:xf>
    <x:xf numFmtId="203" fontId="13" fillId="5" borderId="18" xfId="0" applyNumberFormat="1" applyFont="1" applyFill="1" applyBorder="1" applyAlignment="1">
      <x:alignment horizontal="center" vertical="center"/>
    </x:xf>
    <x:xf numFmtId="203" fontId="13" fillId="5" borderId="32" xfId="0" applyNumberFormat="1" applyFont="1" applyFill="1" applyBorder="1" applyAlignment="1">
      <x:alignment horizontal="center" vertical="center"/>
    </x:xf>
    <x:xf numFmtId="203" fontId="13" fillId="5" borderId="19" xfId="0" applyNumberFormat="1" applyFont="1" applyFill="1" applyBorder="1" applyAlignment="1">
      <x:alignment horizontal="center" vertical="center"/>
    </x:xf>
    <x:xf numFmtId="203" fontId="13" fillId="5" borderId="20" xfId="0" applyNumberFormat="1" applyFont="1" applyFill="1" applyBorder="1" applyAlignment="1">
      <x:alignment horizontal="center" vertical="center"/>
    </x:xf>
    <x:xf numFmtId="203" fontId="13" fillId="5" borderId="1" xfId="0" applyNumberFormat="1" applyFont="1" applyFill="1" applyBorder="1" applyAlignment="1">
      <x:alignment horizontal="center" vertical="center"/>
    </x:xf>
    <x:xf numFmtId="203" fontId="13" fillId="5" borderId="21" xfId="0" applyNumberFormat="1" applyFont="1" applyFill="1" applyBorder="1" applyAlignment="1">
      <x:alignment horizontal="center" vertical="center"/>
    </x:xf>
    <x:xf numFmtId="203" fontId="13" fillId="5" borderId="22" xfId="0" applyNumberFormat="1" applyFont="1" applyFill="1" applyBorder="1" applyAlignment="1">
      <x:alignment horizontal="center" vertical="center"/>
    </x:xf>
    <x:xf numFmtId="203" fontId="13" fillId="5" borderId="33" xfId="0" applyNumberFormat="1" applyFont="1" applyFill="1" applyBorder="1" applyAlignment="1">
      <x:alignment horizontal="center" vertical="center"/>
    </x:xf>
    <x:xf numFmtId="203" fontId="13" fillId="5" borderId="23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0" fillId="11" borderId="1" xfId="0" applyNumberFormat="1" applyFont="1" applyFill="1" applyBorder="1"/>
    <x:xf numFmtId="0" fontId="9" fillId="11" borderId="0" xfId="0" applyNumberFormat="1" applyFont="1" applyFill="1" applyBorder="1"/>
    <x:xf numFmtId="0" fontId="9" fillId="11" borderId="1" xfId="0" applyNumberFormat="1" applyFont="1" applyFill="1" applyBorder="1"/>
    <x:xf numFmtId="0" fontId="9" fillId="11" borderId="24" xfId="0" applyNumberFormat="1" applyFont="1" applyFill="1" applyBorder="1"/>
    <x:xf numFmtId="0" fontId="9" fillId="11" borderId="25" xfId="0" applyNumberFormat="1" applyFont="1" applyFill="1" applyBorder="1"/>
    <x:xf numFmtId="0" fontId="9" fillId="11" borderId="26" xfId="0" applyNumberFormat="1" applyFont="1" applyFill="1" applyBorder="1"/>
    <x:xf numFmtId="0" fontId="9" fillId="11" borderId="27" xfId="0" applyNumberFormat="1" applyFont="1" applyFill="1" applyBorder="1"/>
    <x:xf numFmtId="0" fontId="9" fillId="11" borderId="28" xfId="0" applyNumberFormat="1" applyFont="1" applyFill="1" applyBorder="1"/>
    <x:xf numFmtId="0" fontId="9" fillId="11" borderId="29" xfId="0" applyNumberFormat="1" applyFont="1" applyFill="1" applyBorder="1"/>
    <x:xf numFmtId="0" fontId="9" fillId="11" borderId="24" xfId="0" applyNumberFormat="1" applyFont="1" applyFill="1" applyBorder="1" applyAlignment="1">
      <x:alignment horizontal="center"/>
    </x:xf>
    <x:xf numFmtId="0" fontId="9" fillId="11" borderId="25" xfId="0" applyNumberFormat="1" applyFont="1" applyFill="1" applyBorder="1" applyAlignment="1">
      <x:alignment horizontal="center"/>
    </x:xf>
    <x:xf numFmtId="0" fontId="9" fillId="11" borderId="26" xfId="0" applyNumberFormat="1" applyFont="1" applyFill="1" applyBorder="1" applyAlignment="1">
      <x:alignment horizontal="center"/>
    </x:xf>
    <x:xf numFmtId="0" fontId="9" fillId="11" borderId="27" xfId="0" applyNumberFormat="1" applyFont="1" applyFill="1" applyBorder="1" applyAlignment="1">
      <x:alignment horizontal="center"/>
    </x:xf>
    <x:xf numFmtId="0" fontId="9" fillId="11" borderId="28" xfId="0" applyNumberFormat="1" applyFont="1" applyFill="1" applyBorder="1" applyAlignment="1">
      <x:alignment horizontal="center"/>
    </x:xf>
    <x:xf numFmtId="0" fontId="9" fillId="11" borderId="29" xfId="0" applyNumberFormat="1" applyFont="1" applyFill="1" applyBorder="1" applyAlignment="1">
      <x:alignment horizontal="center"/>
    </x:xf>
    <x:xf numFmtId="0" fontId="9" fillId="11" borderId="24" xfId="0" applyNumberFormat="1" applyFont="1" applyFill="1" applyBorder="1" applyAlignment="1">
      <x:alignment horizontal="center" vertical="center"/>
    </x:xf>
    <x:xf numFmtId="0" fontId="9" fillId="11" borderId="25" xfId="0" applyNumberFormat="1" applyFont="1" applyFill="1" applyBorder="1" applyAlignment="1">
      <x:alignment horizontal="center" vertical="center"/>
    </x:xf>
    <x:xf numFmtId="0" fontId="9" fillId="11" borderId="26" xfId="0" applyNumberFormat="1" applyFont="1" applyFill="1" applyBorder="1" applyAlignment="1">
      <x:alignment horizontal="center" vertical="center"/>
    </x:xf>
    <x:xf numFmtId="0" fontId="9" fillId="11" borderId="27" xfId="0" applyNumberFormat="1" applyFont="1" applyFill="1" applyBorder="1" applyAlignment="1">
      <x:alignment horizontal="center" vertical="center"/>
    </x:xf>
    <x:xf numFmtId="0" fontId="9" fillId="11" borderId="28" xfId="0" applyNumberFormat="1" applyFont="1" applyFill="1" applyBorder="1" applyAlignment="1">
      <x:alignment horizontal="center" vertical="center"/>
    </x:xf>
    <x:xf numFmtId="0" fontId="9" fillId="11" borderId="29" xfId="0" applyNumberFormat="1" applyFont="1" applyFill="1" applyBorder="1" applyAlignment="1">
      <x:alignment horizontal="center" vertical="center"/>
    </x:xf>
    <x:xf numFmtId="0" fontId="0" fillId="12" borderId="0" xfId="0" applyNumberFormat="1" applyFont="1" applyFill="1" applyBorder="1"/>
    <x:xf numFmtId="0" fontId="0" fillId="12" borderId="1" xfId="0" applyNumberFormat="1" applyFont="1" applyFill="1" applyBorder="1"/>
    <x:xf numFmtId="0" fontId="14" fillId="12" borderId="0" xfId="0" applyNumberFormat="1" applyFont="1" applyFill="1" applyBorder="1"/>
    <x:xf numFmtId="0" fontId="14" fillId="12" borderId="1" xfId="0" applyNumberFormat="1" applyFont="1" applyFill="1" applyBorder="1"/>
    <x:xf numFmtId="0" fontId="14" fillId="12" borderId="12" xfId="0" applyNumberFormat="1" applyFont="1" applyFill="1" applyBorder="1"/>
    <x:xf numFmtId="0" fontId="14" fillId="12" borderId="30" xfId="0" applyNumberFormat="1" applyFont="1" applyFill="1" applyBorder="1"/>
    <x:xf numFmtId="0" fontId="14" fillId="12" borderId="13" xfId="0" applyNumberFormat="1" applyFont="1" applyFill="1" applyBorder="1"/>
    <x:xf numFmtId="0" fontId="14" fillId="12" borderId="14" xfId="0" applyNumberFormat="1" applyFont="1" applyFill="1" applyBorder="1"/>
    <x:xf numFmtId="0" fontId="14" fillId="12" borderId="15" xfId="0" applyNumberFormat="1" applyFont="1" applyFill="1" applyBorder="1"/>
    <x:xf numFmtId="0" fontId="14" fillId="12" borderId="16" xfId="0" applyNumberFormat="1" applyFont="1" applyFill="1" applyBorder="1"/>
    <x:xf numFmtId="0" fontId="14" fillId="12" borderId="31" xfId="0" applyNumberFormat="1" applyFont="1" applyFill="1" applyBorder="1"/>
    <x:xf numFmtId="0" fontId="14" fillId="12" borderId="17" xfId="0" applyNumberFormat="1" applyFont="1" applyFill="1" applyBorder="1"/>
    <x:xf numFmtId="0" fontId="14" fillId="12" borderId="18" xfId="0" applyNumberFormat="1" applyFont="1" applyFill="1" applyBorder="1"/>
    <x:xf numFmtId="0" fontId="14" fillId="12" borderId="32" xfId="0" applyNumberFormat="1" applyFont="1" applyFill="1" applyBorder="1"/>
    <x:xf numFmtId="0" fontId="14" fillId="12" borderId="19" xfId="0" applyNumberFormat="1" applyFont="1" applyFill="1" applyBorder="1"/>
    <x:xf numFmtId="0" fontId="14" fillId="12" borderId="20" xfId="0" applyNumberFormat="1" applyFont="1" applyFill="1" applyBorder="1"/>
    <x:xf numFmtId="0" fontId="14" fillId="12" borderId="21" xfId="0" applyNumberFormat="1" applyFont="1" applyFill="1" applyBorder="1"/>
    <x:xf numFmtId="0" fontId="14" fillId="12" borderId="22" xfId="0" applyNumberFormat="1" applyFont="1" applyFill="1" applyBorder="1"/>
    <x:xf numFmtId="0" fontId="14" fillId="12" borderId="33" xfId="0" applyNumberFormat="1" applyFont="1" applyFill="1" applyBorder="1"/>
    <x:xf numFmtId="0" fontId="14" fillId="12" borderId="23" xfId="0" applyNumberFormat="1" applyFont="1" applyFill="1" applyBorder="1"/>
    <x:xf numFmtId="203" fontId="14" fillId="12" borderId="12" xfId="0" applyNumberFormat="1" applyFont="1" applyFill="1" applyBorder="1"/>
    <x:xf numFmtId="203" fontId="14" fillId="12" borderId="30" xfId="0" applyNumberFormat="1" applyFont="1" applyFill="1" applyBorder="1"/>
    <x:xf numFmtId="203" fontId="14" fillId="12" borderId="13" xfId="0" applyNumberFormat="1" applyFont="1" applyFill="1" applyBorder="1"/>
    <x:xf numFmtId="203" fontId="14" fillId="12" borderId="14" xfId="0" applyNumberFormat="1" applyFont="1" applyFill="1" applyBorder="1"/>
    <x:xf numFmtId="203" fontId="14" fillId="12" borderId="0" xfId="0" applyNumberFormat="1" applyFont="1" applyFill="1" applyBorder="1"/>
    <x:xf numFmtId="203" fontId="14" fillId="12" borderId="15" xfId="0" applyNumberFormat="1" applyFont="1" applyFill="1" applyBorder="1"/>
    <x:xf numFmtId="203" fontId="14" fillId="12" borderId="16" xfId="0" applyNumberFormat="1" applyFont="1" applyFill="1" applyBorder="1"/>
    <x:xf numFmtId="203" fontId="14" fillId="12" borderId="31" xfId="0" applyNumberFormat="1" applyFont="1" applyFill="1" applyBorder="1"/>
    <x:xf numFmtId="203" fontId="14" fillId="12" borderId="17" xfId="0" applyNumberFormat="1" applyFont="1" applyFill="1" applyBorder="1"/>
    <x:xf numFmtId="203" fontId="14" fillId="12" borderId="18" xfId="0" applyNumberFormat="1" applyFont="1" applyFill="1" applyBorder="1"/>
    <x:xf numFmtId="203" fontId="14" fillId="12" borderId="32" xfId="0" applyNumberFormat="1" applyFont="1" applyFill="1" applyBorder="1"/>
    <x:xf numFmtId="203" fontId="14" fillId="12" borderId="19" xfId="0" applyNumberFormat="1" applyFont="1" applyFill="1" applyBorder="1"/>
    <x:xf numFmtId="203" fontId="14" fillId="12" borderId="20" xfId="0" applyNumberFormat="1" applyFont="1" applyFill="1" applyBorder="1"/>
    <x:xf numFmtId="203" fontId="14" fillId="12" borderId="1" xfId="0" applyNumberFormat="1" applyFont="1" applyFill="1" applyBorder="1"/>
    <x:xf numFmtId="203" fontId="14" fillId="12" borderId="21" xfId="0" applyNumberFormat="1" applyFont="1" applyFill="1" applyBorder="1"/>
    <x:xf numFmtId="203" fontId="14" fillId="12" borderId="22" xfId="0" applyNumberFormat="1" applyFont="1" applyFill="1" applyBorder="1"/>
    <x:xf numFmtId="203" fontId="14" fillId="12" borderId="33" xfId="0" applyNumberFormat="1" applyFont="1" applyFill="1" applyBorder="1"/>
    <x:xf numFmtId="203" fontId="14" fillId="12" borderId="23" xfId="0" applyNumberFormat="1" applyFont="1" applyFill="1" applyBorder="1"/>
    <x:xf numFmtId="203" fontId="14" fillId="12" borderId="12" xfId="0" applyNumberFormat="1" applyFont="1" applyFill="1" applyBorder="1" applyAlignment="1">
      <x:alignment horizontal="center"/>
    </x:xf>
    <x:xf numFmtId="203" fontId="14" fillId="12" borderId="30" xfId="0" applyNumberFormat="1" applyFont="1" applyFill="1" applyBorder="1" applyAlignment="1">
      <x:alignment horizontal="center"/>
    </x:xf>
    <x:xf numFmtId="203" fontId="14" fillId="12" borderId="13" xfId="0" applyNumberFormat="1" applyFont="1" applyFill="1" applyBorder="1" applyAlignment="1">
      <x:alignment horizontal="center"/>
    </x:xf>
    <x:xf numFmtId="203" fontId="14" fillId="12" borderId="14" xfId="0" applyNumberFormat="1" applyFont="1" applyFill="1" applyBorder="1" applyAlignment="1">
      <x:alignment horizontal="center"/>
    </x:xf>
    <x:xf numFmtId="203" fontId="14" fillId="12" borderId="0" xfId="0" applyNumberFormat="1" applyFont="1" applyFill="1" applyBorder="1" applyAlignment="1">
      <x:alignment horizontal="center"/>
    </x:xf>
    <x:xf numFmtId="203" fontId="14" fillId="12" borderId="15" xfId="0" applyNumberFormat="1" applyFont="1" applyFill="1" applyBorder="1" applyAlignment="1">
      <x:alignment horizontal="center"/>
    </x:xf>
    <x:xf numFmtId="203" fontId="14" fillId="12" borderId="16" xfId="0" applyNumberFormat="1" applyFont="1" applyFill="1" applyBorder="1" applyAlignment="1">
      <x:alignment horizontal="center"/>
    </x:xf>
    <x:xf numFmtId="203" fontId="14" fillId="12" borderId="31" xfId="0" applyNumberFormat="1" applyFont="1" applyFill="1" applyBorder="1" applyAlignment="1">
      <x:alignment horizontal="center"/>
    </x:xf>
    <x:xf numFmtId="203" fontId="14" fillId="12" borderId="17" xfId="0" applyNumberFormat="1" applyFont="1" applyFill="1" applyBorder="1" applyAlignment="1">
      <x:alignment horizontal="center"/>
    </x:xf>
    <x:xf numFmtId="203" fontId="14" fillId="12" borderId="18" xfId="0" applyNumberFormat="1" applyFont="1" applyFill="1" applyBorder="1" applyAlignment="1">
      <x:alignment horizontal="center"/>
    </x:xf>
    <x:xf numFmtId="203" fontId="14" fillId="12" borderId="32" xfId="0" applyNumberFormat="1" applyFont="1" applyFill="1" applyBorder="1" applyAlignment="1">
      <x:alignment horizontal="center"/>
    </x:xf>
    <x:xf numFmtId="203" fontId="14" fillId="12" borderId="19" xfId="0" applyNumberFormat="1" applyFont="1" applyFill="1" applyBorder="1" applyAlignment="1">
      <x:alignment horizontal="center"/>
    </x:xf>
    <x:xf numFmtId="203" fontId="14" fillId="12" borderId="20" xfId="0" applyNumberFormat="1" applyFont="1" applyFill="1" applyBorder="1" applyAlignment="1">
      <x:alignment horizontal="center"/>
    </x:xf>
    <x:xf numFmtId="203" fontId="14" fillId="12" borderId="1" xfId="0" applyNumberFormat="1" applyFont="1" applyFill="1" applyBorder="1" applyAlignment="1">
      <x:alignment horizontal="center"/>
    </x:xf>
    <x:xf numFmtId="203" fontId="14" fillId="12" borderId="21" xfId="0" applyNumberFormat="1" applyFont="1" applyFill="1" applyBorder="1" applyAlignment="1">
      <x:alignment horizontal="center"/>
    </x:xf>
    <x:xf numFmtId="203" fontId="14" fillId="12" borderId="22" xfId="0" applyNumberFormat="1" applyFont="1" applyFill="1" applyBorder="1" applyAlignment="1">
      <x:alignment horizontal="center"/>
    </x:xf>
    <x:xf numFmtId="203" fontId="14" fillId="12" borderId="33" xfId="0" applyNumberFormat="1" applyFont="1" applyFill="1" applyBorder="1" applyAlignment="1">
      <x:alignment horizontal="center"/>
    </x:xf>
    <x:xf numFmtId="203" fontId="14" fillId="12" borderId="23" xfId="0" applyNumberFormat="1" applyFont="1" applyFill="1" applyBorder="1" applyAlignment="1">
      <x:alignment horizontal="center"/>
    </x:xf>
    <x:xf numFmtId="203" fontId="14" fillId="12" borderId="12" xfId="0" applyNumberFormat="1" applyFont="1" applyFill="1" applyBorder="1" applyAlignment="1">
      <x:alignment horizontal="center" vertical="center"/>
    </x:xf>
    <x:xf numFmtId="203" fontId="14" fillId="12" borderId="30" xfId="0" applyNumberFormat="1" applyFont="1" applyFill="1" applyBorder="1" applyAlignment="1">
      <x:alignment horizontal="center" vertical="center"/>
    </x:xf>
    <x:xf numFmtId="203" fontId="14" fillId="12" borderId="13" xfId="0" applyNumberFormat="1" applyFont="1" applyFill="1" applyBorder="1" applyAlignment="1">
      <x:alignment horizontal="center" vertical="center"/>
    </x:xf>
    <x:xf numFmtId="203" fontId="14" fillId="12" borderId="14" xfId="0" applyNumberFormat="1" applyFont="1" applyFill="1" applyBorder="1" applyAlignment="1">
      <x:alignment horizontal="center" vertical="center"/>
    </x:xf>
    <x:xf numFmtId="203" fontId="14" fillId="12" borderId="0" xfId="0" applyNumberFormat="1" applyFont="1" applyFill="1" applyBorder="1" applyAlignment="1">
      <x:alignment horizontal="center" vertical="center"/>
    </x:xf>
    <x:xf numFmtId="203" fontId="14" fillId="12" borderId="15" xfId="0" applyNumberFormat="1" applyFont="1" applyFill="1" applyBorder="1" applyAlignment="1">
      <x:alignment horizontal="center" vertical="center"/>
    </x:xf>
    <x:xf numFmtId="203" fontId="14" fillId="12" borderId="16" xfId="0" applyNumberFormat="1" applyFont="1" applyFill="1" applyBorder="1" applyAlignment="1">
      <x:alignment horizontal="center" vertical="center"/>
    </x:xf>
    <x:xf numFmtId="203" fontId="14" fillId="12" borderId="31" xfId="0" applyNumberFormat="1" applyFont="1" applyFill="1" applyBorder="1" applyAlignment="1">
      <x:alignment horizontal="center" vertical="center"/>
    </x:xf>
    <x:xf numFmtId="203" fontId="14" fillId="12" borderId="17" xfId="0" applyNumberFormat="1" applyFont="1" applyFill="1" applyBorder="1" applyAlignment="1">
      <x:alignment horizontal="center" vertical="center"/>
    </x:xf>
    <x:xf numFmtId="203" fontId="14" fillId="12" borderId="18" xfId="0" applyNumberFormat="1" applyFont="1" applyFill="1" applyBorder="1" applyAlignment="1">
      <x:alignment horizontal="center" vertical="center"/>
    </x:xf>
    <x:xf numFmtId="203" fontId="14" fillId="12" borderId="32" xfId="0" applyNumberFormat="1" applyFont="1" applyFill="1" applyBorder="1" applyAlignment="1">
      <x:alignment horizontal="center" vertical="center"/>
    </x:xf>
    <x:xf numFmtId="203" fontId="14" fillId="12" borderId="19" xfId="0" applyNumberFormat="1" applyFont="1" applyFill="1" applyBorder="1" applyAlignment="1">
      <x:alignment horizontal="center" vertical="center"/>
    </x:xf>
    <x:xf numFmtId="203" fontId="14" fillId="12" borderId="20" xfId="0" applyNumberFormat="1" applyFont="1" applyFill="1" applyBorder="1" applyAlignment="1">
      <x:alignment horizontal="center" vertical="center"/>
    </x:xf>
    <x:xf numFmtId="203" fontId="14" fillId="12" borderId="1" xfId="0" applyNumberFormat="1" applyFont="1" applyFill="1" applyBorder="1" applyAlignment="1">
      <x:alignment horizontal="center" vertical="center"/>
    </x:xf>
    <x:xf numFmtId="203" fontId="14" fillId="12" borderId="21" xfId="0" applyNumberFormat="1" applyFont="1" applyFill="1" applyBorder="1" applyAlignment="1">
      <x:alignment horizontal="center" vertical="center"/>
    </x:xf>
    <x:xf numFmtId="203" fontId="14" fillId="12" borderId="22" xfId="0" applyNumberFormat="1" applyFont="1" applyFill="1" applyBorder="1" applyAlignment="1">
      <x:alignment horizontal="center" vertical="center"/>
    </x:xf>
    <x:xf numFmtId="203" fontId="14" fillId="12" borderId="33" xfId="0" applyNumberFormat="1" applyFont="1" applyFill="1" applyBorder="1" applyAlignment="1">
      <x:alignment horizontal="center" vertical="center"/>
    </x:xf>
    <x:xf numFmtId="203" fontId="14" fillId="12" borderId="23" xfId="0" applyNumberFormat="1" applyFont="1" applyFill="1" applyBorder="1" applyAlignment="1">
      <x:alignment horizontal="center" vertical="center"/>
    </x:xf>
    <x:xf numFmtId="0" fontId="0" fillId="13" borderId="0" xfId="0" applyNumberFormat="1" applyFont="1" applyFill="1" applyBorder="1"/>
    <x:xf numFmtId="0" fontId="0" fillId="13" borderId="1" xfId="0" applyNumberFormat="1" applyFont="1" applyFill="1" applyBorder="1"/>
    <x:xf numFmtId="0" fontId="1" fillId="13" borderId="0" xfId="0" applyNumberFormat="1" applyFont="1" applyFill="1" applyBorder="1"/>
    <x:xf numFmtId="0" fontId="1" fillId="13" borderId="1" xfId="0" applyNumberFormat="1" applyFont="1" applyFill="1" applyBorder="1"/>
    <x:xf numFmtId="0" fontId="1" fillId="13" borderId="24" xfId="0" applyNumberFormat="1" applyFont="1" applyFill="1" applyBorder="1"/>
    <x:xf numFmtId="0" fontId="1" fillId="13" borderId="25" xfId="0" applyNumberFormat="1" applyFont="1" applyFill="1" applyBorder="1"/>
    <x:xf numFmtId="0" fontId="1" fillId="13" borderId="26" xfId="0" applyNumberFormat="1" applyFont="1" applyFill="1" applyBorder="1"/>
    <x:xf numFmtId="0" fontId="1" fillId="13" borderId="27" xfId="0" applyNumberFormat="1" applyFont="1" applyFill="1" applyBorder="1"/>
    <x:xf numFmtId="0" fontId="1" fillId="13" borderId="28" xfId="0" applyNumberFormat="1" applyFont="1" applyFill="1" applyBorder="1"/>
    <x:xf numFmtId="0" fontId="1" fillId="13" borderId="29" xfId="0" applyNumberFormat="1" applyFont="1" applyFill="1" applyBorder="1"/>
    <x:xf numFmtId="0" fontId="1" fillId="13" borderId="24" xfId="0" applyNumberFormat="1" applyFont="1" applyFill="1" applyBorder="1" applyAlignment="1">
      <x:alignment horizontal="center"/>
    </x:xf>
    <x:xf numFmtId="0" fontId="1" fillId="13" borderId="25" xfId="0" applyNumberFormat="1" applyFont="1" applyFill="1" applyBorder="1" applyAlignment="1">
      <x:alignment horizontal="center"/>
    </x:xf>
    <x:xf numFmtId="0" fontId="1" fillId="13" borderId="26" xfId="0" applyNumberFormat="1" applyFont="1" applyFill="1" applyBorder="1" applyAlignment="1">
      <x:alignment horizontal="center"/>
    </x:xf>
    <x:xf numFmtId="0" fontId="1" fillId="13" borderId="27" xfId="0" applyNumberFormat="1" applyFont="1" applyFill="1" applyBorder="1" applyAlignment="1">
      <x:alignment horizontal="center"/>
    </x:xf>
    <x:xf numFmtId="0" fontId="1" fillId="13" borderId="28" xfId="0" applyNumberFormat="1" applyFont="1" applyFill="1" applyBorder="1" applyAlignment="1">
      <x:alignment horizontal="center"/>
    </x:xf>
    <x:xf numFmtId="0" fontId="1" fillId="13" borderId="29" xfId="0" applyNumberFormat="1" applyFont="1" applyFill="1" applyBorder="1" applyAlignment="1">
      <x:alignment horizontal="center"/>
    </x:xf>
    <x:xf numFmtId="0" fontId="1" fillId="13" borderId="24" xfId="0" applyNumberFormat="1" applyFont="1" applyFill="1" applyBorder="1" applyAlignment="1">
      <x:alignment horizontal="center" vertical="center"/>
    </x:xf>
    <x:xf numFmtId="0" fontId="1" fillId="13" borderId="25" xfId="0" applyNumberFormat="1" applyFont="1" applyFill="1" applyBorder="1" applyAlignment="1">
      <x:alignment horizontal="center" vertical="center"/>
    </x:xf>
    <x:xf numFmtId="0" fontId="1" fillId="13" borderId="26" xfId="0" applyNumberFormat="1" applyFont="1" applyFill="1" applyBorder="1" applyAlignment="1">
      <x:alignment horizontal="center" vertical="center"/>
    </x:xf>
    <x:xf numFmtId="0" fontId="1" fillId="13" borderId="27" xfId="0" applyNumberFormat="1" applyFont="1" applyFill="1" applyBorder="1" applyAlignment="1">
      <x:alignment horizontal="center" vertical="center"/>
    </x:xf>
    <x:xf numFmtId="0" fontId="1" fillId="13" borderId="28" xfId="0" applyNumberFormat="1" applyFont="1" applyFill="1" applyBorder="1" applyAlignment="1">
      <x:alignment horizontal="center" vertical="center"/>
    </x:xf>
    <x:xf numFmtId="0" fontId="1" fillId="13" borderId="29" xfId="0" applyNumberFormat="1" applyFont="1" applyFill="1" applyBorder="1" applyAlignment="1">
      <x:alignment horizontal="center" vertical="center"/>
    </x:xf>
    <x:xf numFmtId="0" fontId="0" fillId="14" borderId="0" xfId="0" applyNumberFormat="1" applyFont="1" applyFill="1" applyBorder="1"/>
    <x:xf numFmtId="0" fontId="0" fillId="14" borderId="1" xfId="0" applyNumberFormat="1" applyFont="1" applyFill="1" applyBorder="1"/>
    <x:xf numFmtId="0" fontId="15" fillId="14" borderId="0" xfId="0" applyNumberFormat="1" applyFont="1" applyFill="1" applyBorder="1"/>
    <x:xf numFmtId="0" fontId="15" fillId="14" borderId="1" xfId="0" applyNumberFormat="1" applyFont="1" applyFill="1" applyBorder="1"/>
    <x:xf numFmtId="0" fontId="15" fillId="14" borderId="24" xfId="0" applyNumberFormat="1" applyFont="1" applyFill="1" applyBorder="1"/>
    <x:xf numFmtId="0" fontId="15" fillId="14" borderId="25" xfId="0" applyNumberFormat="1" applyFont="1" applyFill="1" applyBorder="1"/>
    <x:xf numFmtId="0" fontId="15" fillId="14" borderId="26" xfId="0" applyNumberFormat="1" applyFont="1" applyFill="1" applyBorder="1"/>
    <x:xf numFmtId="0" fontId="15" fillId="14" borderId="27" xfId="0" applyNumberFormat="1" applyFont="1" applyFill="1" applyBorder="1"/>
    <x:xf numFmtId="0" fontId="15" fillId="14" borderId="28" xfId="0" applyNumberFormat="1" applyFont="1" applyFill="1" applyBorder="1"/>
    <x:xf numFmtId="0" fontId="15" fillId="14" borderId="29" xfId="0" applyNumberFormat="1" applyFont="1" applyFill="1" applyBorder="1"/>
    <x:xf numFmtId="0" fontId="15" fillId="14" borderId="24" xfId="0" applyNumberFormat="1" applyFont="1" applyFill="1" applyBorder="1" applyAlignment="1">
      <x:alignment horizontal="center"/>
    </x:xf>
    <x:xf numFmtId="0" fontId="15" fillId="14" borderId="25" xfId="0" applyNumberFormat="1" applyFont="1" applyFill="1" applyBorder="1" applyAlignment="1">
      <x:alignment horizontal="center"/>
    </x:xf>
    <x:xf numFmtId="0" fontId="15" fillId="14" borderId="26" xfId="0" applyNumberFormat="1" applyFont="1" applyFill="1" applyBorder="1" applyAlignment="1">
      <x:alignment horizontal="center"/>
    </x:xf>
    <x:xf numFmtId="0" fontId="15" fillId="14" borderId="27" xfId="0" applyNumberFormat="1" applyFont="1" applyFill="1" applyBorder="1" applyAlignment="1">
      <x:alignment horizontal="center"/>
    </x:xf>
    <x:xf numFmtId="0" fontId="15" fillId="14" borderId="28" xfId="0" applyNumberFormat="1" applyFont="1" applyFill="1" applyBorder="1" applyAlignment="1">
      <x:alignment horizontal="center"/>
    </x:xf>
    <x:xf numFmtId="0" fontId="15" fillId="14" borderId="29" xfId="0" applyNumberFormat="1" applyFont="1" applyFill="1" applyBorder="1" applyAlignment="1">
      <x:alignment horizontal="center"/>
    </x:xf>
    <x:xf numFmtId="0" fontId="15" fillId="14" borderId="24" xfId="0" applyNumberFormat="1" applyFont="1" applyFill="1" applyBorder="1" applyAlignment="1">
      <x:alignment horizontal="center" vertical="center"/>
    </x:xf>
    <x:xf numFmtId="0" fontId="15" fillId="14" borderId="25" xfId="0" applyNumberFormat="1" applyFont="1" applyFill="1" applyBorder="1" applyAlignment="1">
      <x:alignment horizontal="center" vertical="center"/>
    </x:xf>
    <x:xf numFmtId="0" fontId="15" fillId="14" borderId="26" xfId="0" applyNumberFormat="1" applyFont="1" applyFill="1" applyBorder="1" applyAlignment="1">
      <x:alignment horizontal="center" vertical="center"/>
    </x:xf>
    <x:xf numFmtId="0" fontId="15" fillId="14" borderId="27" xfId="0" applyNumberFormat="1" applyFont="1" applyFill="1" applyBorder="1" applyAlignment="1">
      <x:alignment horizontal="center" vertical="center"/>
    </x:xf>
    <x:xf numFmtId="0" fontId="15" fillId="14" borderId="28" xfId="0" applyNumberFormat="1" applyFont="1" applyFill="1" applyBorder="1" applyAlignment="1">
      <x:alignment horizontal="center" vertical="center"/>
    </x:xf>
    <x:xf numFmtId="0" fontId="15" fillId="14" borderId="29" xfId="0" applyNumberFormat="1" applyFont="1" applyFill="1" applyBorder="1" applyAlignment="1">
      <x:alignment horizontal="center" vertical="center"/>
    </x:xf>
    <x:xf numFmtId="0" fontId="16" fillId="14" borderId="0" xfId="0" applyNumberFormat="1" applyFont="1" applyFill="1" applyBorder="1"/>
    <x:xf numFmtId="0" fontId="16" fillId="14" borderId="1" xfId="0" applyNumberFormat="1" applyFont="1" applyFill="1" applyBorder="1"/>
    <x:xf numFmtId="0" fontId="16" fillId="14" borderId="12" xfId="0" applyNumberFormat="1" applyFont="1" applyFill="1" applyBorder="1"/>
    <x:xf numFmtId="0" fontId="16" fillId="14" borderId="30" xfId="0" applyNumberFormat="1" applyFont="1" applyFill="1" applyBorder="1"/>
    <x:xf numFmtId="0" fontId="16" fillId="14" borderId="13" xfId="0" applyNumberFormat="1" applyFont="1" applyFill="1" applyBorder="1"/>
    <x:xf numFmtId="0" fontId="16" fillId="14" borderId="16" xfId="0" applyNumberFormat="1" applyFont="1" applyFill="1" applyBorder="1"/>
    <x:xf numFmtId="0" fontId="16" fillId="14" borderId="31" xfId="0" applyNumberFormat="1" applyFont="1" applyFill="1" applyBorder="1"/>
    <x:xf numFmtId="0" fontId="16" fillId="14" borderId="17" xfId="0" applyNumberFormat="1" applyFont="1" applyFill="1" applyBorder="1"/>
    <x:xf numFmtId="0" fontId="16" fillId="14" borderId="18" xfId="0" applyNumberFormat="1" applyFont="1" applyFill="1" applyBorder="1"/>
    <x:xf numFmtId="0" fontId="16" fillId="14" borderId="32" xfId="0" applyNumberFormat="1" applyFont="1" applyFill="1" applyBorder="1"/>
    <x:xf numFmtId="0" fontId="16" fillId="14" borderId="19" xfId="0" applyNumberFormat="1" applyFont="1" applyFill="1" applyBorder="1"/>
    <x:xf numFmtId="0" fontId="16" fillId="14" borderId="22" xfId="0" applyNumberFormat="1" applyFont="1" applyFill="1" applyBorder="1"/>
    <x:xf numFmtId="0" fontId="16" fillId="14" borderId="33" xfId="0" applyNumberFormat="1" applyFont="1" applyFill="1" applyBorder="1"/>
    <x:xf numFmtId="0" fontId="16" fillId="14" borderId="23" xfId="0" applyNumberFormat="1" applyFont="1" applyFill="1" applyBorder="1"/>
    <x:xf numFmtId="201" fontId="16" fillId="14" borderId="12" xfId="0" applyNumberFormat="1" applyFont="1" applyFill="1" applyBorder="1"/>
    <x:xf numFmtId="201" fontId="16" fillId="14" borderId="30" xfId="0" applyNumberFormat="1" applyFont="1" applyFill="1" applyBorder="1"/>
    <x:xf numFmtId="201" fontId="16" fillId="14" borderId="13" xfId="0" applyNumberFormat="1" applyFont="1" applyFill="1" applyBorder="1"/>
    <x:xf numFmtId="201" fontId="16" fillId="14" borderId="16" xfId="0" applyNumberFormat="1" applyFont="1" applyFill="1" applyBorder="1"/>
    <x:xf numFmtId="201" fontId="16" fillId="14" borderId="31" xfId="0" applyNumberFormat="1" applyFont="1" applyFill="1" applyBorder="1"/>
    <x:xf numFmtId="201" fontId="16" fillId="14" borderId="17" xfId="0" applyNumberFormat="1" applyFont="1" applyFill="1" applyBorder="1"/>
    <x:xf numFmtId="201" fontId="16" fillId="14" borderId="18" xfId="0" applyNumberFormat="1" applyFont="1" applyFill="1" applyBorder="1"/>
    <x:xf numFmtId="201" fontId="16" fillId="14" borderId="32" xfId="0" applyNumberFormat="1" applyFont="1" applyFill="1" applyBorder="1"/>
    <x:xf numFmtId="201" fontId="16" fillId="14" borderId="19" xfId="0" applyNumberFormat="1" applyFont="1" applyFill="1" applyBorder="1"/>
    <x:xf numFmtId="201" fontId="16" fillId="14" borderId="22" xfId="0" applyNumberFormat="1" applyFont="1" applyFill="1" applyBorder="1"/>
    <x:xf numFmtId="201" fontId="16" fillId="14" borderId="33" xfId="0" applyNumberFormat="1" applyFont="1" applyFill="1" applyBorder="1"/>
    <x:xf numFmtId="201" fontId="16" fillId="14" borderId="23" xfId="0" applyNumberFormat="1" applyFont="1" applyFill="1" applyBorder="1"/>
    <x:xf numFmtId="201" fontId="16" fillId="14" borderId="12" xfId="0" applyNumberFormat="1" applyFont="1" applyFill="1" applyBorder="1" applyAlignment="1">
      <x:alignment horizontal="center"/>
    </x:xf>
    <x:xf numFmtId="201" fontId="16" fillId="14" borderId="30" xfId="0" applyNumberFormat="1" applyFont="1" applyFill="1" applyBorder="1" applyAlignment="1">
      <x:alignment horizontal="center"/>
    </x:xf>
    <x:xf numFmtId="201" fontId="16" fillId="14" borderId="13" xfId="0" applyNumberFormat="1" applyFont="1" applyFill="1" applyBorder="1" applyAlignment="1">
      <x:alignment horizontal="center"/>
    </x:xf>
    <x:xf numFmtId="201" fontId="16" fillId="14" borderId="16" xfId="0" applyNumberFormat="1" applyFont="1" applyFill="1" applyBorder="1" applyAlignment="1">
      <x:alignment horizontal="center"/>
    </x:xf>
    <x:xf numFmtId="201" fontId="16" fillId="14" borderId="31" xfId="0" applyNumberFormat="1" applyFont="1" applyFill="1" applyBorder="1" applyAlignment="1">
      <x:alignment horizontal="center"/>
    </x:xf>
    <x:xf numFmtId="201" fontId="16" fillId="14" borderId="17" xfId="0" applyNumberFormat="1" applyFont="1" applyFill="1" applyBorder="1" applyAlignment="1">
      <x:alignment horizontal="center"/>
    </x:xf>
    <x:xf numFmtId="201" fontId="16" fillId="14" borderId="18" xfId="0" applyNumberFormat="1" applyFont="1" applyFill="1" applyBorder="1" applyAlignment="1">
      <x:alignment horizontal="center"/>
    </x:xf>
    <x:xf numFmtId="201" fontId="16" fillId="14" borderId="32" xfId="0" applyNumberFormat="1" applyFont="1" applyFill="1" applyBorder="1" applyAlignment="1">
      <x:alignment horizontal="center"/>
    </x:xf>
    <x:xf numFmtId="201" fontId="16" fillId="14" borderId="19" xfId="0" applyNumberFormat="1" applyFont="1" applyFill="1" applyBorder="1" applyAlignment="1">
      <x:alignment horizontal="center"/>
    </x:xf>
    <x:xf numFmtId="201" fontId="16" fillId="14" borderId="22" xfId="0" applyNumberFormat="1" applyFont="1" applyFill="1" applyBorder="1" applyAlignment="1">
      <x:alignment horizontal="center"/>
    </x:xf>
    <x:xf numFmtId="201" fontId="16" fillId="14" borderId="33" xfId="0" applyNumberFormat="1" applyFont="1" applyFill="1" applyBorder="1" applyAlignment="1">
      <x:alignment horizontal="center"/>
    </x:xf>
    <x:xf numFmtId="201" fontId="16" fillId="14" borderId="23" xfId="0" applyNumberFormat="1" applyFont="1" applyFill="1" applyBorder="1" applyAlignment="1">
      <x:alignment horizontal="center"/>
    </x:xf>
    <x:xf numFmtId="201" fontId="16" fillId="14" borderId="12" xfId="0" applyNumberFormat="1" applyFont="1" applyFill="1" applyBorder="1" applyAlignment="1">
      <x:alignment horizontal="center" vertical="center"/>
    </x:xf>
    <x:xf numFmtId="201" fontId="16" fillId="14" borderId="30" xfId="0" applyNumberFormat="1" applyFont="1" applyFill="1" applyBorder="1" applyAlignment="1">
      <x:alignment horizontal="center" vertical="center"/>
    </x:xf>
    <x:xf numFmtId="201" fontId="16" fillId="14" borderId="13" xfId="0" applyNumberFormat="1" applyFont="1" applyFill="1" applyBorder="1" applyAlignment="1">
      <x:alignment horizontal="center" vertical="center"/>
    </x:xf>
    <x:xf numFmtId="201" fontId="16" fillId="14" borderId="16" xfId="0" applyNumberFormat="1" applyFont="1" applyFill="1" applyBorder="1" applyAlignment="1">
      <x:alignment horizontal="center" vertical="center"/>
    </x:xf>
    <x:xf numFmtId="201" fontId="16" fillId="14" borderId="31" xfId="0" applyNumberFormat="1" applyFont="1" applyFill="1" applyBorder="1" applyAlignment="1">
      <x:alignment horizontal="center" vertical="center"/>
    </x:xf>
    <x:xf numFmtId="201" fontId="16" fillId="14" borderId="17" xfId="0" applyNumberFormat="1" applyFont="1" applyFill="1" applyBorder="1" applyAlignment="1">
      <x:alignment horizontal="center" vertical="center"/>
    </x:xf>
    <x:xf numFmtId="201" fontId="16" fillId="14" borderId="18" xfId="0" applyNumberFormat="1" applyFont="1" applyFill="1" applyBorder="1" applyAlignment="1">
      <x:alignment horizontal="center" vertical="center"/>
    </x:xf>
    <x:xf numFmtId="201" fontId="16" fillId="14" borderId="32" xfId="0" applyNumberFormat="1" applyFont="1" applyFill="1" applyBorder="1" applyAlignment="1">
      <x:alignment horizontal="center" vertical="center"/>
    </x:xf>
    <x:xf numFmtId="201" fontId="16" fillId="14" borderId="19" xfId="0" applyNumberFormat="1" applyFont="1" applyFill="1" applyBorder="1" applyAlignment="1">
      <x:alignment horizontal="center" vertical="center"/>
    </x:xf>
    <x:xf numFmtId="201" fontId="16" fillId="14" borderId="22" xfId="0" applyNumberFormat="1" applyFont="1" applyFill="1" applyBorder="1" applyAlignment="1">
      <x:alignment horizontal="center" vertical="center"/>
    </x:xf>
    <x:xf numFmtId="201" fontId="16" fillId="14" borderId="33" xfId="0" applyNumberFormat="1" applyFont="1" applyFill="1" applyBorder="1" applyAlignment="1">
      <x:alignment horizontal="center" vertical="center"/>
    </x:xf>
    <x:xf numFmtId="201" fontId="16" fillId="14" borderId="23" xfId="0" applyNumberFormat="1" applyFont="1" applyFill="1" applyBorder="1" applyAlignment="1">
      <x:alignment horizontal="center" vertical="center"/>
    </x:xf>
    <x:xf numFmtId="0" fontId="1" fillId="3" borderId="34" xfId="0" applyNumberFormat="1" applyFont="1" applyFill="1" applyBorder="1"/>
    <x:xf numFmtId="0" fontId="1" fillId="3" borderId="35" xfId="0" applyNumberFormat="1" applyFont="1" applyFill="1" applyBorder="1"/>
    <x:xf numFmtId="0" fontId="1" fillId="3" borderId="34" xfId="0" applyNumberFormat="1" applyFont="1" applyFill="1" applyBorder="1" applyAlignment="1">
      <x:alignment vertical="center"/>
    </x:xf>
    <x:xf numFmtId="0" fontId="1" fillId="3" borderId="35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31" xfId="0" applyNumberFormat="1" applyFont="1" applyFill="1" applyBorder="1"/>
    <x:xf numFmtId="201" fontId="0" fillId="0" borderId="31" xfId="0" applyNumberFormat="1" applyFont="1" applyFill="1" applyBorder="1"/>
    <x:xf numFmtId="202" fontId="0" fillId="0" borderId="31" xfId="0" applyNumberFormat="1" applyFont="1" applyFill="1" applyBorder="1"/>
    <x:xf numFmtId="0" fontId="0" fillId="0" borderId="25" xfId="0" applyNumberFormat="1" applyFont="1" applyFill="1" applyBorder="1"/>
    <x:xf numFmtId="201" fontId="0" fillId="0" borderId="25" xfId="0" applyNumberFormat="1" applyFont="1" applyFill="1" applyBorder="1"/>
    <x:xf numFmtId="202" fontId="0" fillId="0" borderId="25" xfId="0" applyNumberFormat="1" applyFont="1" applyFill="1" applyBorder="1"/>
    <x:xf numFmtId="0" fontId="0" fillId="0" borderId="33" xfId="0" applyNumberFormat="1" applyFont="1" applyFill="1" applyBorder="1"/>
    <x:xf numFmtId="201" fontId="0" fillId="0" borderId="33" xfId="0" applyNumberFormat="1" applyFont="1" applyFill="1" applyBorder="1"/>
    <x:xf numFmtId="202" fontId="0" fillId="0" borderId="33" xfId="0" applyNumberFormat="1" applyFont="1" applyFill="1" applyBorder="1"/>
    <x:xf numFmtId="0" fontId="0" fillId="0" borderId="28" xfId="0" applyNumberFormat="1" applyFont="1" applyFill="1" applyBorder="1"/>
    <x:xf numFmtId="201" fontId="0" fillId="0" borderId="28" xfId="0" applyNumberFormat="1" applyFont="1" applyFill="1" applyBorder="1"/>
    <x:xf numFmtId="202" fontId="0" fillId="0" borderId="28" xfId="0" applyNumberFormat="1" applyFont="1" applyFill="1" applyBorder="1"/>
    <x:xf numFmtId="0" fontId="0" fillId="8" borderId="25" xfId="0" applyNumberFormat="1" applyFont="1" applyFill="1" applyBorder="1"/>
    <x:xf numFmtId="201" fontId="0" fillId="8" borderId="25" xfId="0" applyNumberFormat="1" applyFont="1" applyFill="1" applyBorder="1"/>
    <x:xf numFmtId="202" fontId="0" fillId="8" borderId="25" xfId="0" applyNumberFormat="1" applyFont="1" applyFill="1" applyBorder="1"/>
    <x:xf numFmtId="0" fontId="0" fillId="8" borderId="28" xfId="0" applyNumberFormat="1" applyFont="1" applyFill="1" applyBorder="1"/>
    <x:xf numFmtId="201" fontId="0" fillId="8" borderId="28" xfId="0" applyNumberFormat="1" applyFont="1" applyFill="1" applyBorder="1"/>
    <x:xf numFmtId="202" fontId="0" fillId="8" borderId="28" xfId="0" applyNumberFormat="1" applyFont="1" applyFill="1" applyBorder="1"/>
    <x:xf numFmtId="0" fontId="17" fillId="8" borderId="25" xfId="0" applyNumberFormat="1" applyFont="1" applyFill="1" applyBorder="1"/>
    <x:xf numFmtId="201" fontId="17" fillId="8" borderId="25" xfId="0" applyNumberFormat="1" applyFont="1" applyFill="1" applyBorder="1"/>
    <x:xf numFmtId="202" fontId="17" fillId="8" borderId="25" xfId="0" applyNumberFormat="1" applyFont="1" applyFill="1" applyBorder="1"/>
    <x:xf numFmtId="0" fontId="17" fillId="8" borderId="28" xfId="0" applyNumberFormat="1" applyFont="1" applyFill="1" applyBorder="1"/>
    <x:xf numFmtId="201" fontId="17" fillId="8" borderId="28" xfId="0" applyNumberFormat="1" applyFont="1" applyFill="1" applyBorder="1"/>
    <x:xf numFmtId="202" fontId="17" fillId="8" borderId="28" xfId="0" applyNumberFormat="1" applyFont="1" applyFill="1" applyBorder="1"/>
    <x:xf numFmtId="0" fontId="0" fillId="10" borderId="25" xfId="0" applyNumberFormat="1" applyFont="1" applyFill="1" applyBorder="1"/>
    <x:xf numFmtId="201" fontId="0" fillId="10" borderId="25" xfId="0" applyNumberFormat="1" applyFont="1" applyFill="1" applyBorder="1"/>
    <x:xf numFmtId="202" fontId="0" fillId="10" borderId="25" xfId="0" applyNumberFormat="1" applyFont="1" applyFill="1" applyBorder="1"/>
    <x:xf numFmtId="0" fontId="0" fillId="10" borderId="28" xfId="0" applyNumberFormat="1" applyFont="1" applyFill="1" applyBorder="1"/>
    <x:xf numFmtId="201" fontId="0" fillId="10" borderId="28" xfId="0" applyNumberFormat="1" applyFont="1" applyFill="1" applyBorder="1"/>
    <x:xf numFmtId="202" fontId="0" fillId="10" borderId="28" xfId="0" applyNumberFormat="1" applyFont="1" applyFill="1" applyBorder="1"/>
    <x:xf numFmtId="0" fontId="18" fillId="10" borderId="25" xfId="0" applyNumberFormat="1" applyFont="1" applyFill="1" applyBorder="1"/>
    <x:xf numFmtId="201" fontId="18" fillId="10" borderId="25" xfId="0" applyNumberFormat="1" applyFont="1" applyFill="1" applyBorder="1"/>
    <x:xf numFmtId="202" fontId="18" fillId="10" borderId="25" xfId="0" applyNumberFormat="1" applyFont="1" applyFill="1" applyBorder="1"/>
    <x:xf numFmtId="0" fontId="18" fillId="10" borderId="28" xfId="0" applyNumberFormat="1" applyFont="1" applyFill="1" applyBorder="1"/>
    <x:xf numFmtId="201" fontId="18" fillId="10" borderId="28" xfId="0" applyNumberFormat="1" applyFont="1" applyFill="1" applyBorder="1"/>
    <x:xf numFmtId="202" fontId="18" fillId="10" borderId="28" xfId="0" applyNumberFormat="1" applyFont="1" applyFill="1" applyBorder="1"/>
    <x:xf numFmtId="0" fontId="1" fillId="13" borderId="36" xfId="0" applyNumberFormat="1" applyFont="1" applyFill="1" applyBorder="1"/>
    <x:xf numFmtId="0" fontId="1" fillId="13" borderId="37" xfId="0" applyNumberFormat="1" applyFont="1" applyFill="1" applyBorder="1"/>
    <x:xf numFmtId="0" fontId="1" fillId="13" borderId="38" xfId="0" applyNumberFormat="1" applyFont="1" applyFill="1" applyBorder="1"/>
    <x:xf numFmtId="0" fontId="1" fillId="13" borderId="39" xfId="0" applyNumberFormat="1" applyFont="1" applyFill="1" applyBorder="1"/>
    <x:xf numFmtId="0" fontId="1" fillId="13" borderId="40" xfId="0" applyNumberFormat="1" applyFont="1" applyFill="1" applyBorder="1"/>
    <x:xf numFmtId="0" fontId="1" fillId="13" borderId="41" xfId="0" applyNumberFormat="1" applyFont="1" applyFill="1" applyBorder="1"/>
    <x:xf numFmtId="0" fontId="1" fillId="13" borderId="36" xfId="0" applyNumberFormat="1" applyFont="1" applyFill="1" applyBorder="1" applyAlignment="1">
      <x:alignment vertical="center"/>
    </x:xf>
    <x:xf numFmtId="0" fontId="1" fillId="13" borderId="37" xfId="0" applyNumberFormat="1" applyFont="1" applyFill="1" applyBorder="1" applyAlignment="1">
      <x:alignment vertical="center"/>
    </x:xf>
    <x:xf numFmtId="0" fontId="1" fillId="13" borderId="38" xfId="0" applyNumberFormat="1" applyFont="1" applyFill="1" applyBorder="1" applyAlignment="1">
      <x:alignment vertical="center"/>
    </x:xf>
    <x:xf numFmtId="0" fontId="1" fillId="13" borderId="39" xfId="0" applyNumberFormat="1" applyFont="1" applyFill="1" applyBorder="1" applyAlignment="1">
      <x:alignment vertical="center"/>
    </x:xf>
    <x:xf numFmtId="0" fontId="1" fillId="13" borderId="40" xfId="0" applyNumberFormat="1" applyFont="1" applyFill="1" applyBorder="1" applyAlignment="1">
      <x:alignment vertical="center"/>
    </x:xf>
    <x:xf numFmtId="0" fontId="1" fillId="13" borderId="41" xfId="0" applyNumberFormat="1" applyFont="1" applyFill="1" applyBorder="1" applyAlignment="1">
      <x:alignment vertical="center"/>
    </x:xf>
    <x:xf numFmtId="0" fontId="19" fillId="8" borderId="0" xfId="0" applyNumberFormat="1" applyFont="1" applyFill="1" applyBorder="1"/>
    <x:xf numFmtId="0" fontId="19" fillId="8" borderId="1" xfId="0" applyNumberFormat="1" applyFont="1" applyFill="1" applyBorder="1"/>
    <x:xf numFmtId="0" fontId="19" fillId="8" borderId="12" xfId="0" applyNumberFormat="1" applyFont="1" applyFill="1" applyBorder="1"/>
    <x:xf numFmtId="0" fontId="19" fillId="8" borderId="30" xfId="0" applyNumberFormat="1" applyFont="1" applyFill="1" applyBorder="1"/>
    <x:xf numFmtId="0" fontId="19" fillId="8" borderId="13" xfId="0" applyNumberFormat="1" applyFont="1" applyFill="1" applyBorder="1"/>
    <x:xf numFmtId="0" fontId="19" fillId="8" borderId="14" xfId="0" applyNumberFormat="1" applyFont="1" applyFill="1" applyBorder="1"/>
    <x:xf numFmtId="0" fontId="19" fillId="8" borderId="15" xfId="0" applyNumberFormat="1" applyFont="1" applyFill="1" applyBorder="1"/>
    <x:xf numFmtId="0" fontId="19" fillId="8" borderId="16" xfId="0" applyNumberFormat="1" applyFont="1" applyFill="1" applyBorder="1"/>
    <x:xf numFmtId="0" fontId="19" fillId="8" borderId="31" xfId="0" applyNumberFormat="1" applyFont="1" applyFill="1" applyBorder="1"/>
    <x:xf numFmtId="0" fontId="19" fillId="8" borderId="17" xfId="0" applyNumberFormat="1" applyFont="1" applyFill="1" applyBorder="1"/>
    <x:xf numFmtId="0" fontId="19" fillId="8" borderId="18" xfId="0" applyNumberFormat="1" applyFont="1" applyFill="1" applyBorder="1"/>
    <x:xf numFmtId="0" fontId="19" fillId="8" borderId="32" xfId="0" applyNumberFormat="1" applyFont="1" applyFill="1" applyBorder="1"/>
    <x:xf numFmtId="0" fontId="19" fillId="8" borderId="19" xfId="0" applyNumberFormat="1" applyFont="1" applyFill="1" applyBorder="1"/>
    <x:xf numFmtId="0" fontId="19" fillId="8" borderId="20" xfId="0" applyNumberFormat="1" applyFont="1" applyFill="1" applyBorder="1"/>
    <x:xf numFmtId="0" fontId="19" fillId="8" borderId="21" xfId="0" applyNumberFormat="1" applyFont="1" applyFill="1" applyBorder="1"/>
    <x:xf numFmtId="0" fontId="19" fillId="8" borderId="22" xfId="0" applyNumberFormat="1" applyFont="1" applyFill="1" applyBorder="1"/>
    <x:xf numFmtId="0" fontId="19" fillId="8" borderId="33" xfId="0" applyNumberFormat="1" applyFont="1" applyFill="1" applyBorder="1"/>
    <x:xf numFmtId="0" fontId="19" fillId="8" borderId="23" xfId="0" applyNumberFormat="1" applyFont="1" applyFill="1" applyBorder="1"/>
    <x:xf numFmtId="202" fontId="19" fillId="8" borderId="12" xfId="0" applyNumberFormat="1" applyFont="1" applyFill="1" applyBorder="1"/>
    <x:xf numFmtId="202" fontId="19" fillId="8" borderId="30" xfId="0" applyNumberFormat="1" applyFont="1" applyFill="1" applyBorder="1"/>
    <x:xf numFmtId="202" fontId="19" fillId="8" borderId="13" xfId="0" applyNumberFormat="1" applyFont="1" applyFill="1" applyBorder="1"/>
    <x:xf numFmtId="202" fontId="19" fillId="8" borderId="14" xfId="0" applyNumberFormat="1" applyFont="1" applyFill="1" applyBorder="1"/>
    <x:xf numFmtId="202" fontId="19" fillId="8" borderId="0" xfId="0" applyNumberFormat="1" applyFont="1" applyFill="1" applyBorder="1"/>
    <x:xf numFmtId="202" fontId="19" fillId="8" borderId="15" xfId="0" applyNumberFormat="1" applyFont="1" applyFill="1" applyBorder="1"/>
    <x:xf numFmtId="202" fontId="19" fillId="8" borderId="16" xfId="0" applyNumberFormat="1" applyFont="1" applyFill="1" applyBorder="1"/>
    <x:xf numFmtId="202" fontId="19" fillId="8" borderId="31" xfId="0" applyNumberFormat="1" applyFont="1" applyFill="1" applyBorder="1"/>
    <x:xf numFmtId="202" fontId="19" fillId="8" borderId="17" xfId="0" applyNumberFormat="1" applyFont="1" applyFill="1" applyBorder="1"/>
    <x:xf numFmtId="202" fontId="19" fillId="8" borderId="18" xfId="0" applyNumberFormat="1" applyFont="1" applyFill="1" applyBorder="1"/>
    <x:xf numFmtId="202" fontId="19" fillId="8" borderId="32" xfId="0" applyNumberFormat="1" applyFont="1" applyFill="1" applyBorder="1"/>
    <x:xf numFmtId="202" fontId="19" fillId="8" borderId="19" xfId="0" applyNumberFormat="1" applyFont="1" applyFill="1" applyBorder="1"/>
    <x:xf numFmtId="202" fontId="19" fillId="8" borderId="20" xfId="0" applyNumberFormat="1" applyFont="1" applyFill="1" applyBorder="1"/>
    <x:xf numFmtId="202" fontId="19" fillId="8" borderId="1" xfId="0" applyNumberFormat="1" applyFont="1" applyFill="1" applyBorder="1"/>
    <x:xf numFmtId="202" fontId="19" fillId="8" borderId="21" xfId="0" applyNumberFormat="1" applyFont="1" applyFill="1" applyBorder="1"/>
    <x:xf numFmtId="202" fontId="19" fillId="8" borderId="22" xfId="0" applyNumberFormat="1" applyFont="1" applyFill="1" applyBorder="1"/>
    <x:xf numFmtId="202" fontId="19" fillId="8" borderId="33" xfId="0" applyNumberFormat="1" applyFont="1" applyFill="1" applyBorder="1"/>
    <x:xf numFmtId="202" fontId="19" fillId="8" borderId="23" xfId="0" applyNumberFormat="1" applyFont="1" applyFill="1" applyBorder="1"/>
    <x:xf numFmtId="202" fontId="19" fillId="8" borderId="12" xfId="0" applyNumberFormat="1" applyFont="1" applyFill="1" applyBorder="1" applyAlignment="1">
      <x:alignment horizontal="center"/>
    </x:xf>
    <x:xf numFmtId="202" fontId="19" fillId="8" borderId="30" xfId="0" applyNumberFormat="1" applyFont="1" applyFill="1" applyBorder="1" applyAlignment="1">
      <x:alignment horizontal="center"/>
    </x:xf>
    <x:xf numFmtId="202" fontId="19" fillId="8" borderId="13" xfId="0" applyNumberFormat="1" applyFont="1" applyFill="1" applyBorder="1" applyAlignment="1">
      <x:alignment horizontal="center"/>
    </x:xf>
    <x:xf numFmtId="202" fontId="19" fillId="8" borderId="14" xfId="0" applyNumberFormat="1" applyFont="1" applyFill="1" applyBorder="1" applyAlignment="1">
      <x:alignment horizontal="center"/>
    </x:xf>
    <x:xf numFmtId="202" fontId="19" fillId="8" borderId="0" xfId="0" applyNumberFormat="1" applyFont="1" applyFill="1" applyBorder="1" applyAlignment="1">
      <x:alignment horizontal="center"/>
    </x:xf>
    <x:xf numFmtId="202" fontId="19" fillId="8" borderId="15" xfId="0" applyNumberFormat="1" applyFont="1" applyFill="1" applyBorder="1" applyAlignment="1">
      <x:alignment horizontal="center"/>
    </x:xf>
    <x:xf numFmtId="202" fontId="19" fillId="8" borderId="16" xfId="0" applyNumberFormat="1" applyFont="1" applyFill="1" applyBorder="1" applyAlignment="1">
      <x:alignment horizontal="center"/>
    </x:xf>
    <x:xf numFmtId="202" fontId="19" fillId="8" borderId="31" xfId="0" applyNumberFormat="1" applyFont="1" applyFill="1" applyBorder="1" applyAlignment="1">
      <x:alignment horizontal="center"/>
    </x:xf>
    <x:xf numFmtId="202" fontId="19" fillId="8" borderId="17" xfId="0" applyNumberFormat="1" applyFont="1" applyFill="1" applyBorder="1" applyAlignment="1">
      <x:alignment horizontal="center"/>
    </x:xf>
    <x:xf numFmtId="202" fontId="19" fillId="8" borderId="18" xfId="0" applyNumberFormat="1" applyFont="1" applyFill="1" applyBorder="1" applyAlignment="1">
      <x:alignment horizontal="center"/>
    </x:xf>
    <x:xf numFmtId="202" fontId="19" fillId="8" borderId="32" xfId="0" applyNumberFormat="1" applyFont="1" applyFill="1" applyBorder="1" applyAlignment="1">
      <x:alignment horizontal="center"/>
    </x:xf>
    <x:xf numFmtId="202" fontId="19" fillId="8" borderId="19" xfId="0" applyNumberFormat="1" applyFont="1" applyFill="1" applyBorder="1" applyAlignment="1">
      <x:alignment horizontal="center"/>
    </x:xf>
    <x:xf numFmtId="202" fontId="19" fillId="8" borderId="20" xfId="0" applyNumberFormat="1" applyFont="1" applyFill="1" applyBorder="1" applyAlignment="1">
      <x:alignment horizontal="center"/>
    </x:xf>
    <x:xf numFmtId="202" fontId="19" fillId="8" borderId="1" xfId="0" applyNumberFormat="1" applyFont="1" applyFill="1" applyBorder="1" applyAlignment="1">
      <x:alignment horizontal="center"/>
    </x:xf>
    <x:xf numFmtId="202" fontId="19" fillId="8" borderId="21" xfId="0" applyNumberFormat="1" applyFont="1" applyFill="1" applyBorder="1" applyAlignment="1">
      <x:alignment horizontal="center"/>
    </x:xf>
    <x:xf numFmtId="202" fontId="19" fillId="8" borderId="22" xfId="0" applyNumberFormat="1" applyFont="1" applyFill="1" applyBorder="1" applyAlignment="1">
      <x:alignment horizontal="center"/>
    </x:xf>
    <x:xf numFmtId="202" fontId="19" fillId="8" borderId="33" xfId="0" applyNumberFormat="1" applyFont="1" applyFill="1" applyBorder="1" applyAlignment="1">
      <x:alignment horizontal="center"/>
    </x:xf>
    <x:xf numFmtId="202" fontId="19" fillId="8" borderId="23" xfId="0" applyNumberFormat="1" applyFont="1" applyFill="1" applyBorder="1" applyAlignment="1">
      <x:alignment horizontal="center"/>
    </x:xf>
    <x:xf numFmtId="202" fontId="19" fillId="8" borderId="12" xfId="0" applyNumberFormat="1" applyFont="1" applyFill="1" applyBorder="1" applyAlignment="1">
      <x:alignment horizontal="center" vertical="center"/>
    </x:xf>
    <x:xf numFmtId="202" fontId="19" fillId="8" borderId="30" xfId="0" applyNumberFormat="1" applyFont="1" applyFill="1" applyBorder="1" applyAlignment="1">
      <x:alignment horizontal="center" vertical="center"/>
    </x:xf>
    <x:xf numFmtId="202" fontId="19" fillId="8" borderId="13" xfId="0" applyNumberFormat="1" applyFont="1" applyFill="1" applyBorder="1" applyAlignment="1">
      <x:alignment horizontal="center" vertical="center"/>
    </x:xf>
    <x:xf numFmtId="202" fontId="19" fillId="8" borderId="14" xfId="0" applyNumberFormat="1" applyFont="1" applyFill="1" applyBorder="1" applyAlignment="1">
      <x:alignment horizontal="center" vertical="center"/>
    </x:xf>
    <x:xf numFmtId="202" fontId="19" fillId="8" borderId="0" xfId="0" applyNumberFormat="1" applyFont="1" applyFill="1" applyBorder="1" applyAlignment="1">
      <x:alignment horizontal="center" vertical="center"/>
    </x:xf>
    <x:xf numFmtId="202" fontId="19" fillId="8" borderId="15" xfId="0" applyNumberFormat="1" applyFont="1" applyFill="1" applyBorder="1" applyAlignment="1">
      <x:alignment horizontal="center" vertical="center"/>
    </x:xf>
    <x:xf numFmtId="202" fontId="19" fillId="8" borderId="16" xfId="0" applyNumberFormat="1" applyFont="1" applyFill="1" applyBorder="1" applyAlignment="1">
      <x:alignment horizontal="center" vertical="center"/>
    </x:xf>
    <x:xf numFmtId="202" fontId="19" fillId="8" borderId="31" xfId="0" applyNumberFormat="1" applyFont="1" applyFill="1" applyBorder="1" applyAlignment="1">
      <x:alignment horizontal="center" vertical="center"/>
    </x:xf>
    <x:xf numFmtId="202" fontId="19" fillId="8" borderId="17" xfId="0" applyNumberFormat="1" applyFont="1" applyFill="1" applyBorder="1" applyAlignment="1">
      <x:alignment horizontal="center" vertical="center"/>
    </x:xf>
    <x:xf numFmtId="202" fontId="19" fillId="8" borderId="18" xfId="0" applyNumberFormat="1" applyFont="1" applyFill="1" applyBorder="1" applyAlignment="1">
      <x:alignment horizontal="center" vertical="center"/>
    </x:xf>
    <x:xf numFmtId="202" fontId="19" fillId="8" borderId="32" xfId="0" applyNumberFormat="1" applyFont="1" applyFill="1" applyBorder="1" applyAlignment="1">
      <x:alignment horizontal="center" vertical="center"/>
    </x:xf>
    <x:xf numFmtId="202" fontId="19" fillId="8" borderId="19" xfId="0" applyNumberFormat="1" applyFont="1" applyFill="1" applyBorder="1" applyAlignment="1">
      <x:alignment horizontal="center" vertical="center"/>
    </x:xf>
    <x:xf numFmtId="202" fontId="19" fillId="8" borderId="20" xfId="0" applyNumberFormat="1" applyFont="1" applyFill="1" applyBorder="1" applyAlignment="1">
      <x:alignment horizontal="center" vertical="center"/>
    </x:xf>
    <x:xf numFmtId="202" fontId="19" fillId="8" borderId="1" xfId="0" applyNumberFormat="1" applyFont="1" applyFill="1" applyBorder="1" applyAlignment="1">
      <x:alignment horizontal="center" vertical="center"/>
    </x:xf>
    <x:xf numFmtId="202" fontId="19" fillId="8" borderId="21" xfId="0" applyNumberFormat="1" applyFont="1" applyFill="1" applyBorder="1" applyAlignment="1">
      <x:alignment horizontal="center" vertical="center"/>
    </x:xf>
    <x:xf numFmtId="202" fontId="19" fillId="8" borderId="22" xfId="0" applyNumberFormat="1" applyFont="1" applyFill="1" applyBorder="1" applyAlignment="1">
      <x:alignment horizontal="center" vertical="center"/>
    </x:xf>
    <x:xf numFmtId="202" fontId="19" fillId="8" borderId="33" xfId="0" applyNumberFormat="1" applyFont="1" applyFill="1" applyBorder="1" applyAlignment="1">
      <x:alignment horizontal="center" vertical="center"/>
    </x:xf>
    <x:xf numFmtId="202" fontId="19" fillId="8" borderId="23" xfId="0" applyNumberFormat="1" applyFont="1" applyFill="1" applyBorder="1" applyAlignment="1">
      <x:alignment horizontal="center" vertical="center"/>
    </x:xf>
    <x:xf numFmtId="0" fontId="20" fillId="14" borderId="0" xfId="0" applyNumberFormat="1" applyFont="1" applyFill="1" applyBorder="1"/>
    <x:xf numFmtId="0" fontId="20" fillId="14" borderId="1" xfId="0" applyNumberFormat="1" applyFont="1" applyFill="1" applyBorder="1"/>
    <x:xf numFmtId="0" fontId="20" fillId="14" borderId="12" xfId="0" applyNumberFormat="1" applyFont="1" applyFill="1" applyBorder="1"/>
    <x:xf numFmtId="0" fontId="20" fillId="14" borderId="30" xfId="0" applyNumberFormat="1" applyFont="1" applyFill="1" applyBorder="1"/>
    <x:xf numFmtId="0" fontId="20" fillId="14" borderId="13" xfId="0" applyNumberFormat="1" applyFont="1" applyFill="1" applyBorder="1"/>
    <x:xf numFmtId="0" fontId="20" fillId="14" borderId="14" xfId="0" applyNumberFormat="1" applyFont="1" applyFill="1" applyBorder="1"/>
    <x:xf numFmtId="0" fontId="20" fillId="14" borderId="15" xfId="0" applyNumberFormat="1" applyFont="1" applyFill="1" applyBorder="1"/>
    <x:xf numFmtId="0" fontId="20" fillId="14" borderId="16" xfId="0" applyNumberFormat="1" applyFont="1" applyFill="1" applyBorder="1"/>
    <x:xf numFmtId="0" fontId="20" fillId="14" borderId="31" xfId="0" applyNumberFormat="1" applyFont="1" applyFill="1" applyBorder="1"/>
    <x:xf numFmtId="0" fontId="20" fillId="14" borderId="17" xfId="0" applyNumberFormat="1" applyFont="1" applyFill="1" applyBorder="1"/>
    <x:xf numFmtId="0" fontId="20" fillId="14" borderId="18" xfId="0" applyNumberFormat="1" applyFont="1" applyFill="1" applyBorder="1"/>
    <x:xf numFmtId="0" fontId="20" fillId="14" borderId="32" xfId="0" applyNumberFormat="1" applyFont="1" applyFill="1" applyBorder="1"/>
    <x:xf numFmtId="0" fontId="20" fillId="14" borderId="19" xfId="0" applyNumberFormat="1" applyFont="1" applyFill="1" applyBorder="1"/>
    <x:xf numFmtId="0" fontId="20" fillId="14" borderId="20" xfId="0" applyNumberFormat="1" applyFont="1" applyFill="1" applyBorder="1"/>
    <x:xf numFmtId="0" fontId="20" fillId="14" borderId="21" xfId="0" applyNumberFormat="1" applyFont="1" applyFill="1" applyBorder="1"/>
    <x:xf numFmtId="0" fontId="20" fillId="14" borderId="22" xfId="0" applyNumberFormat="1" applyFont="1" applyFill="1" applyBorder="1"/>
    <x:xf numFmtId="0" fontId="20" fillId="14" borderId="33" xfId="0" applyNumberFormat="1" applyFont="1" applyFill="1" applyBorder="1"/>
    <x:xf numFmtId="0" fontId="20" fillId="14" borderId="23" xfId="0" applyNumberFormat="1" applyFont="1" applyFill="1" applyBorder="1"/>
    <x:xf numFmtId="202" fontId="20" fillId="14" borderId="12" xfId="0" applyNumberFormat="1" applyFont="1" applyFill="1" applyBorder="1"/>
    <x:xf numFmtId="202" fontId="20" fillId="14" borderId="30" xfId="0" applyNumberFormat="1" applyFont="1" applyFill="1" applyBorder="1"/>
    <x:xf numFmtId="202" fontId="20" fillId="14" borderId="13" xfId="0" applyNumberFormat="1" applyFont="1" applyFill="1" applyBorder="1"/>
    <x:xf numFmtId="202" fontId="20" fillId="14" borderId="14" xfId="0" applyNumberFormat="1" applyFont="1" applyFill="1" applyBorder="1"/>
    <x:xf numFmtId="202" fontId="20" fillId="14" borderId="0" xfId="0" applyNumberFormat="1" applyFont="1" applyFill="1" applyBorder="1"/>
    <x:xf numFmtId="202" fontId="20" fillId="14" borderId="15" xfId="0" applyNumberFormat="1" applyFont="1" applyFill="1" applyBorder="1"/>
    <x:xf numFmtId="202" fontId="20" fillId="14" borderId="16" xfId="0" applyNumberFormat="1" applyFont="1" applyFill="1" applyBorder="1"/>
    <x:xf numFmtId="202" fontId="20" fillId="14" borderId="31" xfId="0" applyNumberFormat="1" applyFont="1" applyFill="1" applyBorder="1"/>
    <x:xf numFmtId="202" fontId="20" fillId="14" borderId="17" xfId="0" applyNumberFormat="1" applyFont="1" applyFill="1" applyBorder="1"/>
    <x:xf numFmtId="202" fontId="20" fillId="14" borderId="18" xfId="0" applyNumberFormat="1" applyFont="1" applyFill="1" applyBorder="1"/>
    <x:xf numFmtId="202" fontId="20" fillId="14" borderId="32" xfId="0" applyNumberFormat="1" applyFont="1" applyFill="1" applyBorder="1"/>
    <x:xf numFmtId="202" fontId="20" fillId="14" borderId="19" xfId="0" applyNumberFormat="1" applyFont="1" applyFill="1" applyBorder="1"/>
    <x:xf numFmtId="202" fontId="20" fillId="14" borderId="20" xfId="0" applyNumberFormat="1" applyFont="1" applyFill="1" applyBorder="1"/>
    <x:xf numFmtId="202" fontId="20" fillId="14" borderId="1" xfId="0" applyNumberFormat="1" applyFont="1" applyFill="1" applyBorder="1"/>
    <x:xf numFmtId="202" fontId="20" fillId="14" borderId="21" xfId="0" applyNumberFormat="1" applyFont="1" applyFill="1" applyBorder="1"/>
    <x:xf numFmtId="202" fontId="20" fillId="14" borderId="22" xfId="0" applyNumberFormat="1" applyFont="1" applyFill="1" applyBorder="1"/>
    <x:xf numFmtId="202" fontId="20" fillId="14" borderId="33" xfId="0" applyNumberFormat="1" applyFont="1" applyFill="1" applyBorder="1"/>
    <x:xf numFmtId="202" fontId="20" fillId="14" borderId="23" xfId="0" applyNumberFormat="1" applyFont="1" applyFill="1" applyBorder="1"/>
    <x:xf numFmtId="202" fontId="20" fillId="14" borderId="12" xfId="0" applyNumberFormat="1" applyFont="1" applyFill="1" applyBorder="1" applyAlignment="1">
      <x:alignment horizontal="center"/>
    </x:xf>
    <x:xf numFmtId="202" fontId="20" fillId="14" borderId="30" xfId="0" applyNumberFormat="1" applyFont="1" applyFill="1" applyBorder="1" applyAlignment="1">
      <x:alignment horizontal="center"/>
    </x:xf>
    <x:xf numFmtId="202" fontId="20" fillId="14" borderId="13" xfId="0" applyNumberFormat="1" applyFont="1" applyFill="1" applyBorder="1" applyAlignment="1">
      <x:alignment horizontal="center"/>
    </x:xf>
    <x:xf numFmtId="202" fontId="20" fillId="14" borderId="14" xfId="0" applyNumberFormat="1" applyFont="1" applyFill="1" applyBorder="1" applyAlignment="1">
      <x:alignment horizontal="center"/>
    </x:xf>
    <x:xf numFmtId="202" fontId="20" fillId="14" borderId="0" xfId="0" applyNumberFormat="1" applyFont="1" applyFill="1" applyBorder="1" applyAlignment="1">
      <x:alignment horizontal="center"/>
    </x:xf>
    <x:xf numFmtId="202" fontId="20" fillId="14" borderId="15" xfId="0" applyNumberFormat="1" applyFont="1" applyFill="1" applyBorder="1" applyAlignment="1">
      <x:alignment horizontal="center"/>
    </x:xf>
    <x:xf numFmtId="202" fontId="20" fillId="14" borderId="16" xfId="0" applyNumberFormat="1" applyFont="1" applyFill="1" applyBorder="1" applyAlignment="1">
      <x:alignment horizontal="center"/>
    </x:xf>
    <x:xf numFmtId="202" fontId="20" fillId="14" borderId="31" xfId="0" applyNumberFormat="1" applyFont="1" applyFill="1" applyBorder="1" applyAlignment="1">
      <x:alignment horizontal="center"/>
    </x:xf>
    <x:xf numFmtId="202" fontId="20" fillId="14" borderId="17" xfId="0" applyNumberFormat="1" applyFont="1" applyFill="1" applyBorder="1" applyAlignment="1">
      <x:alignment horizontal="center"/>
    </x:xf>
    <x:xf numFmtId="202" fontId="20" fillId="14" borderId="18" xfId="0" applyNumberFormat="1" applyFont="1" applyFill="1" applyBorder="1" applyAlignment="1">
      <x:alignment horizontal="center"/>
    </x:xf>
    <x:xf numFmtId="202" fontId="20" fillId="14" borderId="32" xfId="0" applyNumberFormat="1" applyFont="1" applyFill="1" applyBorder="1" applyAlignment="1">
      <x:alignment horizontal="center"/>
    </x:xf>
    <x:xf numFmtId="202" fontId="20" fillId="14" borderId="19" xfId="0" applyNumberFormat="1" applyFont="1" applyFill="1" applyBorder="1" applyAlignment="1">
      <x:alignment horizontal="center"/>
    </x:xf>
    <x:xf numFmtId="202" fontId="20" fillId="14" borderId="20" xfId="0" applyNumberFormat="1" applyFont="1" applyFill="1" applyBorder="1" applyAlignment="1">
      <x:alignment horizontal="center"/>
    </x:xf>
    <x:xf numFmtId="202" fontId="20" fillId="14" borderId="1" xfId="0" applyNumberFormat="1" applyFont="1" applyFill="1" applyBorder="1" applyAlignment="1">
      <x:alignment horizontal="center"/>
    </x:xf>
    <x:xf numFmtId="202" fontId="20" fillId="14" borderId="21" xfId="0" applyNumberFormat="1" applyFont="1" applyFill="1" applyBorder="1" applyAlignment="1">
      <x:alignment horizontal="center"/>
    </x:xf>
    <x:xf numFmtId="202" fontId="20" fillId="14" borderId="22" xfId="0" applyNumberFormat="1" applyFont="1" applyFill="1" applyBorder="1" applyAlignment="1">
      <x:alignment horizontal="center"/>
    </x:xf>
    <x:xf numFmtId="202" fontId="20" fillId="14" borderId="33" xfId="0" applyNumberFormat="1" applyFont="1" applyFill="1" applyBorder="1" applyAlignment="1">
      <x:alignment horizontal="center"/>
    </x:xf>
    <x:xf numFmtId="202" fontId="20" fillId="14" borderId="23" xfId="0" applyNumberFormat="1" applyFont="1" applyFill="1" applyBorder="1" applyAlignment="1">
      <x:alignment horizontal="center"/>
    </x:xf>
    <x:xf numFmtId="202" fontId="20" fillId="14" borderId="12" xfId="0" applyNumberFormat="1" applyFont="1" applyFill="1" applyBorder="1" applyAlignment="1">
      <x:alignment horizontal="center" vertical="center"/>
    </x:xf>
    <x:xf numFmtId="202" fontId="20" fillId="14" borderId="30" xfId="0" applyNumberFormat="1" applyFont="1" applyFill="1" applyBorder="1" applyAlignment="1">
      <x:alignment horizontal="center" vertical="center"/>
    </x:xf>
    <x:xf numFmtId="202" fontId="20" fillId="14" borderId="13" xfId="0" applyNumberFormat="1" applyFont="1" applyFill="1" applyBorder="1" applyAlignment="1">
      <x:alignment horizontal="center" vertical="center"/>
    </x:xf>
    <x:xf numFmtId="202" fontId="20" fillId="14" borderId="14" xfId="0" applyNumberFormat="1" applyFont="1" applyFill="1" applyBorder="1" applyAlignment="1">
      <x:alignment horizontal="center" vertical="center"/>
    </x:xf>
    <x:xf numFmtId="202" fontId="20" fillId="14" borderId="0" xfId="0" applyNumberFormat="1" applyFont="1" applyFill="1" applyBorder="1" applyAlignment="1">
      <x:alignment horizontal="center" vertical="center"/>
    </x:xf>
    <x:xf numFmtId="202" fontId="20" fillId="14" borderId="15" xfId="0" applyNumberFormat="1" applyFont="1" applyFill="1" applyBorder="1" applyAlignment="1">
      <x:alignment horizontal="center" vertical="center"/>
    </x:xf>
    <x:xf numFmtId="202" fontId="20" fillId="14" borderId="16" xfId="0" applyNumberFormat="1" applyFont="1" applyFill="1" applyBorder="1" applyAlignment="1">
      <x:alignment horizontal="center" vertical="center"/>
    </x:xf>
    <x:xf numFmtId="202" fontId="20" fillId="14" borderId="31" xfId="0" applyNumberFormat="1" applyFont="1" applyFill="1" applyBorder="1" applyAlignment="1">
      <x:alignment horizontal="center" vertical="center"/>
    </x:xf>
    <x:xf numFmtId="202" fontId="20" fillId="14" borderId="17" xfId="0" applyNumberFormat="1" applyFont="1" applyFill="1" applyBorder="1" applyAlignment="1">
      <x:alignment horizontal="center" vertical="center"/>
    </x:xf>
    <x:xf numFmtId="202" fontId="20" fillId="14" borderId="18" xfId="0" applyNumberFormat="1" applyFont="1" applyFill="1" applyBorder="1" applyAlignment="1">
      <x:alignment horizontal="center" vertical="center"/>
    </x:xf>
    <x:xf numFmtId="202" fontId="20" fillId="14" borderId="32" xfId="0" applyNumberFormat="1" applyFont="1" applyFill="1" applyBorder="1" applyAlignment="1">
      <x:alignment horizontal="center" vertical="center"/>
    </x:xf>
    <x:xf numFmtId="202" fontId="20" fillId="14" borderId="19" xfId="0" applyNumberFormat="1" applyFont="1" applyFill="1" applyBorder="1" applyAlignment="1">
      <x:alignment horizontal="center" vertical="center"/>
    </x:xf>
    <x:xf numFmtId="202" fontId="20" fillId="14" borderId="20" xfId="0" applyNumberFormat="1" applyFont="1" applyFill="1" applyBorder="1" applyAlignment="1">
      <x:alignment horizontal="center" vertical="center"/>
    </x:xf>
    <x:xf numFmtId="202" fontId="20" fillId="14" borderId="1" xfId="0" applyNumberFormat="1" applyFont="1" applyFill="1" applyBorder="1" applyAlignment="1">
      <x:alignment horizontal="center" vertical="center"/>
    </x:xf>
    <x:xf numFmtId="202" fontId="20" fillId="14" borderId="21" xfId="0" applyNumberFormat="1" applyFont="1" applyFill="1" applyBorder="1" applyAlignment="1">
      <x:alignment horizontal="center" vertical="center"/>
    </x:xf>
    <x:xf numFmtId="202" fontId="20" fillId="14" borderId="22" xfId="0" applyNumberFormat="1" applyFont="1" applyFill="1" applyBorder="1" applyAlignment="1">
      <x:alignment horizontal="center" vertical="center"/>
    </x:xf>
    <x:xf numFmtId="202" fontId="20" fillId="14" borderId="33" xfId="0" applyNumberFormat="1" applyFont="1" applyFill="1" applyBorder="1" applyAlignment="1">
      <x:alignment horizontal="center" vertical="center"/>
    </x:xf>
    <x:xf numFmtId="202" fontId="20" fillId="14" borderId="23" xfId="0" applyNumberFormat="1" applyFont="1" applyFill="1" applyBorder="1" applyAlignment="1">
      <x:alignment horizontal="center" vertical="center"/>
    </x:xf>
    <x:xf numFmtId="0" fontId="3" fillId="10" borderId="0" xfId="0" applyNumberFormat="1" applyFont="1" applyFill="1" applyBorder="1"/>
    <x:xf numFmtId="0" fontId="3" fillId="10" borderId="1" xfId="0" applyNumberFormat="1" applyFont="1" applyFill="1" applyBorder="1"/>
    <x:xf numFmtId="0" fontId="3" fillId="10" borderId="12" xfId="0" applyNumberFormat="1" applyFont="1" applyFill="1" applyBorder="1"/>
    <x:xf numFmtId="0" fontId="3" fillId="10" borderId="30" xfId="0" applyNumberFormat="1" applyFont="1" applyFill="1" applyBorder="1"/>
    <x:xf numFmtId="0" fontId="3" fillId="10" borderId="13" xfId="0" applyNumberFormat="1" applyFont="1" applyFill="1" applyBorder="1"/>
    <x:xf numFmtId="0" fontId="3" fillId="10" borderId="14" xfId="0" applyNumberFormat="1" applyFont="1" applyFill="1" applyBorder="1"/>
    <x:xf numFmtId="0" fontId="3" fillId="10" borderId="15" xfId="0" applyNumberFormat="1" applyFont="1" applyFill="1" applyBorder="1"/>
    <x:xf numFmtId="0" fontId="3" fillId="10" borderId="16" xfId="0" applyNumberFormat="1" applyFont="1" applyFill="1" applyBorder="1"/>
    <x:xf numFmtId="0" fontId="3" fillId="10" borderId="31" xfId="0" applyNumberFormat="1" applyFont="1" applyFill="1" applyBorder="1"/>
    <x:xf numFmtId="0" fontId="3" fillId="10" borderId="17" xfId="0" applyNumberFormat="1" applyFont="1" applyFill="1" applyBorder="1"/>
    <x:xf numFmtId="0" fontId="3" fillId="10" borderId="18" xfId="0" applyNumberFormat="1" applyFont="1" applyFill="1" applyBorder="1"/>
    <x:xf numFmtId="0" fontId="3" fillId="10" borderId="32" xfId="0" applyNumberFormat="1" applyFont="1" applyFill="1" applyBorder="1"/>
    <x:xf numFmtId="0" fontId="3" fillId="10" borderId="19" xfId="0" applyNumberFormat="1" applyFont="1" applyFill="1" applyBorder="1"/>
    <x:xf numFmtId="0" fontId="3" fillId="10" borderId="20" xfId="0" applyNumberFormat="1" applyFont="1" applyFill="1" applyBorder="1"/>
    <x:xf numFmtId="0" fontId="3" fillId="10" borderId="21" xfId="0" applyNumberFormat="1" applyFont="1" applyFill="1" applyBorder="1"/>
    <x:xf numFmtId="0" fontId="3" fillId="10" borderId="22" xfId="0" applyNumberFormat="1" applyFont="1" applyFill="1" applyBorder="1"/>
    <x:xf numFmtId="0" fontId="3" fillId="10" borderId="33" xfId="0" applyNumberFormat="1" applyFont="1" applyFill="1" applyBorder="1"/>
    <x:xf numFmtId="0" fontId="3" fillId="10" borderId="23" xfId="0" applyNumberFormat="1" applyFont="1" applyFill="1" applyBorder="1"/>
    <x:xf numFmtId="0" fontId="3" fillId="10" borderId="12" xfId="0" applyNumberFormat="1" applyFont="1" applyFill="1" applyBorder="1" applyAlignment="1">
      <x:alignment wrapText="1"/>
    </x:xf>
    <x:xf numFmtId="0" fontId="3" fillId="10" borderId="30" xfId="0" applyNumberFormat="1" applyFont="1" applyFill="1" applyBorder="1" applyAlignment="1">
      <x:alignment wrapText="1"/>
    </x:xf>
    <x:xf numFmtId="0" fontId="3" fillId="10" borderId="13" xfId="0" applyNumberFormat="1" applyFont="1" applyFill="1" applyBorder="1" applyAlignment="1">
      <x:alignment wrapText="1"/>
    </x:xf>
    <x:xf numFmtId="0" fontId="3" fillId="10" borderId="14" xfId="0" applyNumberFormat="1" applyFont="1" applyFill="1" applyBorder="1" applyAlignment="1">
      <x:alignment wrapText="1"/>
    </x:xf>
    <x:xf numFmtId="0" fontId="3" fillId="10" borderId="0" xfId="0" applyNumberFormat="1" applyFont="1" applyFill="1" applyBorder="1" applyAlignment="1">
      <x:alignment wrapText="1"/>
    </x:xf>
    <x:xf numFmtId="0" fontId="3" fillId="10" borderId="15" xfId="0" applyNumberFormat="1" applyFont="1" applyFill="1" applyBorder="1" applyAlignment="1">
      <x:alignment wrapText="1"/>
    </x:xf>
    <x:xf numFmtId="0" fontId="3" fillId="10" borderId="16" xfId="0" applyNumberFormat="1" applyFont="1" applyFill="1" applyBorder="1" applyAlignment="1">
      <x:alignment wrapText="1"/>
    </x:xf>
    <x:xf numFmtId="0" fontId="3" fillId="10" borderId="31" xfId="0" applyNumberFormat="1" applyFont="1" applyFill="1" applyBorder="1" applyAlignment="1">
      <x:alignment wrapText="1"/>
    </x:xf>
    <x:xf numFmtId="0" fontId="3" fillId="10" borderId="17" xfId="0" applyNumberFormat="1" applyFont="1" applyFill="1" applyBorder="1" applyAlignment="1">
      <x:alignment wrapText="1"/>
    </x:xf>
    <x:xf numFmtId="0" fontId="3" fillId="10" borderId="18" xfId="0" applyNumberFormat="1" applyFont="1" applyFill="1" applyBorder="1" applyAlignment="1">
      <x:alignment wrapText="1"/>
    </x:xf>
    <x:xf numFmtId="0" fontId="3" fillId="10" borderId="32" xfId="0" applyNumberFormat="1" applyFont="1" applyFill="1" applyBorder="1" applyAlignment="1">
      <x:alignment wrapText="1"/>
    </x:xf>
    <x:xf numFmtId="0" fontId="3" fillId="10" borderId="19" xfId="0" applyNumberFormat="1" applyFont="1" applyFill="1" applyBorder="1" applyAlignment="1">
      <x:alignment wrapText="1"/>
    </x:xf>
    <x:xf numFmtId="0" fontId="3" fillId="10" borderId="20" xfId="0" applyNumberFormat="1" applyFont="1" applyFill="1" applyBorder="1" applyAlignment="1">
      <x:alignment wrapText="1"/>
    </x:xf>
    <x:xf numFmtId="0" fontId="3" fillId="10" borderId="1" xfId="0" applyNumberFormat="1" applyFont="1" applyFill="1" applyBorder="1" applyAlignment="1">
      <x:alignment wrapText="1"/>
    </x:xf>
    <x:xf numFmtId="0" fontId="3" fillId="10" borderId="21" xfId="0" applyNumberFormat="1" applyFont="1" applyFill="1" applyBorder="1" applyAlignment="1">
      <x:alignment wrapText="1"/>
    </x:xf>
    <x:xf numFmtId="0" fontId="3" fillId="10" borderId="22" xfId="0" applyNumberFormat="1" applyFont="1" applyFill="1" applyBorder="1" applyAlignment="1">
      <x:alignment wrapText="1"/>
    </x:xf>
    <x:xf numFmtId="0" fontId="3" fillId="10" borderId="33" xfId="0" applyNumberFormat="1" applyFont="1" applyFill="1" applyBorder="1" applyAlignment="1">
      <x:alignment wrapText="1"/>
    </x:xf>
    <x:xf numFmtId="0" fontId="3" fillId="10" borderId="23" xfId="0" applyNumberFormat="1" applyFont="1" applyFill="1" applyBorder="1" applyAlignment="1">
      <x:alignment wrapText="1"/>
    </x:xf>
    <x:xf numFmtId="0" fontId="3" fillId="10" borderId="12" xfId="0" applyNumberFormat="1" applyFont="1" applyFill="1" applyBorder="1" applyAlignment="1">
      <x:alignment horizontal="left" wrapText="1"/>
    </x:xf>
    <x:xf numFmtId="0" fontId="3" fillId="10" borderId="30" xfId="0" applyNumberFormat="1" applyFont="1" applyFill="1" applyBorder="1" applyAlignment="1">
      <x:alignment horizontal="left" wrapText="1"/>
    </x:xf>
    <x:xf numFmtId="0" fontId="3" fillId="10" borderId="13" xfId="0" applyNumberFormat="1" applyFont="1" applyFill="1" applyBorder="1" applyAlignment="1">
      <x:alignment horizontal="left" wrapText="1"/>
    </x:xf>
    <x:xf numFmtId="0" fontId="3" fillId="10" borderId="14" xfId="0" applyNumberFormat="1" applyFont="1" applyFill="1" applyBorder="1" applyAlignment="1">
      <x:alignment horizontal="left" wrapText="1"/>
    </x:xf>
    <x:xf numFmtId="0" fontId="3" fillId="10" borderId="0" xfId="0" applyNumberFormat="1" applyFont="1" applyFill="1" applyBorder="1" applyAlignment="1">
      <x:alignment horizontal="left" wrapText="1"/>
    </x:xf>
    <x:xf numFmtId="0" fontId="3" fillId="10" borderId="15" xfId="0" applyNumberFormat="1" applyFont="1" applyFill="1" applyBorder="1" applyAlignment="1">
      <x:alignment horizontal="left" wrapText="1"/>
    </x:xf>
    <x:xf numFmtId="0" fontId="3" fillId="10" borderId="16" xfId="0" applyNumberFormat="1" applyFont="1" applyFill="1" applyBorder="1" applyAlignment="1">
      <x:alignment horizontal="left" wrapText="1"/>
    </x:xf>
    <x:xf numFmtId="0" fontId="3" fillId="10" borderId="31" xfId="0" applyNumberFormat="1" applyFont="1" applyFill="1" applyBorder="1" applyAlignment="1">
      <x:alignment horizontal="left" wrapText="1"/>
    </x:xf>
    <x:xf numFmtId="0" fontId="3" fillId="10" borderId="17" xfId="0" applyNumberFormat="1" applyFont="1" applyFill="1" applyBorder="1" applyAlignment="1">
      <x:alignment horizontal="left" wrapText="1"/>
    </x:xf>
    <x:xf numFmtId="0" fontId="3" fillId="10" borderId="18" xfId="0" applyNumberFormat="1" applyFont="1" applyFill="1" applyBorder="1" applyAlignment="1">
      <x:alignment horizontal="left" wrapText="1"/>
    </x:xf>
    <x:xf numFmtId="0" fontId="3" fillId="10" borderId="32" xfId="0" applyNumberFormat="1" applyFont="1" applyFill="1" applyBorder="1" applyAlignment="1">
      <x:alignment horizontal="left" wrapText="1"/>
    </x:xf>
    <x:xf numFmtId="0" fontId="3" fillId="10" borderId="19" xfId="0" applyNumberFormat="1" applyFont="1" applyFill="1" applyBorder="1" applyAlignment="1">
      <x:alignment horizontal="left" wrapText="1"/>
    </x:xf>
    <x:xf numFmtId="0" fontId="3" fillId="10" borderId="20" xfId="0" applyNumberFormat="1" applyFont="1" applyFill="1" applyBorder="1" applyAlignment="1">
      <x:alignment horizontal="left" wrapText="1"/>
    </x:xf>
    <x:xf numFmtId="0" fontId="3" fillId="10" borderId="1" xfId="0" applyNumberFormat="1" applyFont="1" applyFill="1" applyBorder="1" applyAlignment="1">
      <x:alignment horizontal="left" wrapText="1"/>
    </x:xf>
    <x:xf numFmtId="0" fontId="3" fillId="10" borderId="21" xfId="0" applyNumberFormat="1" applyFont="1" applyFill="1" applyBorder="1" applyAlignment="1">
      <x:alignment horizontal="left" wrapText="1"/>
    </x:xf>
    <x:xf numFmtId="0" fontId="3" fillId="10" borderId="22" xfId="0" applyNumberFormat="1" applyFont="1" applyFill="1" applyBorder="1" applyAlignment="1">
      <x:alignment horizontal="left" wrapText="1"/>
    </x:xf>
    <x:xf numFmtId="0" fontId="3" fillId="10" borderId="33" xfId="0" applyNumberFormat="1" applyFont="1" applyFill="1" applyBorder="1" applyAlignment="1">
      <x:alignment horizontal="left" wrapText="1"/>
    </x:xf>
    <x:xf numFmtId="0" fontId="3" fillId="10" borderId="23" xfId="0" applyNumberFormat="1" applyFont="1" applyFill="1" applyBorder="1" applyAlignment="1">
      <x:alignment horizontal="left" wrapText="1"/>
    </x:xf>
    <x:xf numFmtId="0" fontId="3" fillId="10" borderId="12" xfId="0" applyNumberFormat="1" applyFont="1" applyFill="1" applyBorder="1" applyAlignment="1">
      <x:alignment horizontal="left" vertical="center" wrapText="1"/>
    </x:xf>
    <x:xf numFmtId="0" fontId="3" fillId="10" borderId="30" xfId="0" applyNumberFormat="1" applyFont="1" applyFill="1" applyBorder="1" applyAlignment="1">
      <x:alignment horizontal="left" vertical="center" wrapText="1"/>
    </x:xf>
    <x:xf numFmtId="0" fontId="3" fillId="10" borderId="13" xfId="0" applyNumberFormat="1" applyFont="1" applyFill="1" applyBorder="1" applyAlignment="1">
      <x:alignment horizontal="left" vertical="center" wrapText="1"/>
    </x:xf>
    <x:xf numFmtId="0" fontId="3" fillId="10" borderId="14" xfId="0" applyNumberFormat="1" applyFont="1" applyFill="1" applyBorder="1" applyAlignment="1">
      <x:alignment horizontal="left" vertical="center" wrapText="1"/>
    </x:xf>
    <x:xf numFmtId="0" fontId="3" fillId="10" borderId="0" xfId="0" applyNumberFormat="1" applyFont="1" applyFill="1" applyBorder="1" applyAlignment="1">
      <x:alignment horizontal="left" vertical="center" wrapText="1"/>
    </x:xf>
    <x:xf numFmtId="0" fontId="3" fillId="10" borderId="15" xfId="0" applyNumberFormat="1" applyFont="1" applyFill="1" applyBorder="1" applyAlignment="1">
      <x:alignment horizontal="left" vertical="center" wrapText="1"/>
    </x:xf>
    <x:xf numFmtId="0" fontId="3" fillId="10" borderId="16" xfId="0" applyNumberFormat="1" applyFont="1" applyFill="1" applyBorder="1" applyAlignment="1">
      <x:alignment horizontal="left" vertical="center" wrapText="1"/>
    </x:xf>
    <x:xf numFmtId="0" fontId="3" fillId="10" borderId="31" xfId="0" applyNumberFormat="1" applyFont="1" applyFill="1" applyBorder="1" applyAlignment="1">
      <x:alignment horizontal="left" vertical="center" wrapText="1"/>
    </x:xf>
    <x:xf numFmtId="0" fontId="3" fillId="10" borderId="17" xfId="0" applyNumberFormat="1" applyFont="1" applyFill="1" applyBorder="1" applyAlignment="1">
      <x:alignment horizontal="left" vertical="center" wrapText="1"/>
    </x:xf>
    <x:xf numFmtId="0" fontId="3" fillId="10" borderId="18" xfId="0" applyNumberFormat="1" applyFont="1" applyFill="1" applyBorder="1" applyAlignment="1">
      <x:alignment horizontal="left" vertical="center" wrapText="1"/>
    </x:xf>
    <x:xf numFmtId="0" fontId="3" fillId="10" borderId="32" xfId="0" applyNumberFormat="1" applyFont="1" applyFill="1" applyBorder="1" applyAlignment="1">
      <x:alignment horizontal="left" vertical="center" wrapText="1"/>
    </x:xf>
    <x:xf numFmtId="0" fontId="3" fillId="10" borderId="19" xfId="0" applyNumberFormat="1" applyFont="1" applyFill="1" applyBorder="1" applyAlignment="1">
      <x:alignment horizontal="left" vertical="center" wrapText="1"/>
    </x:xf>
    <x:xf numFmtId="0" fontId="3" fillId="10" borderId="20" xfId="0" applyNumberFormat="1" applyFont="1" applyFill="1" applyBorder="1" applyAlignment="1">
      <x:alignment horizontal="left" vertical="center" wrapText="1"/>
    </x:xf>
    <x:xf numFmtId="0" fontId="3" fillId="10" borderId="1" xfId="0" applyNumberFormat="1" applyFont="1" applyFill="1" applyBorder="1" applyAlignment="1">
      <x:alignment horizontal="left" vertical="center" wrapText="1"/>
    </x:xf>
    <x:xf numFmtId="0" fontId="3" fillId="10" borderId="21" xfId="0" applyNumberFormat="1" applyFont="1" applyFill="1" applyBorder="1" applyAlignment="1">
      <x:alignment horizontal="left" vertical="center" wrapText="1"/>
    </x:xf>
    <x:xf numFmtId="0" fontId="3" fillId="10" borderId="22" xfId="0" applyNumberFormat="1" applyFont="1" applyFill="1" applyBorder="1" applyAlignment="1">
      <x:alignment horizontal="left" vertical="center" wrapText="1"/>
    </x:xf>
    <x:xf numFmtId="0" fontId="3" fillId="10" borderId="33" xfId="0" applyNumberFormat="1" applyFont="1" applyFill="1" applyBorder="1" applyAlignment="1">
      <x:alignment horizontal="left" vertical="center" wrapText="1"/>
    </x:xf>
    <x:xf numFmtId="0" fontId="3" fillId="10" borderId="23" xfId="0" applyNumberFormat="1" applyFont="1" applyFill="1" applyBorder="1" applyAlignment="1">
      <x:alignment horizontal="left" vertical="center" wrapText="1"/>
    </x:xf>
    <x:xf numFmtId="0" fontId="0" fillId="15" borderId="0" xfId="0" applyNumberFormat="1" applyFont="1" applyFill="1" applyBorder="1"/>
    <x:xf numFmtId="0" fontId="0" fillId="15" borderId="1" xfId="0" applyNumberFormat="1" applyFont="1" applyFill="1" applyBorder="1"/>
    <x:xf numFmtId="0" fontId="21" fillId="15" borderId="0" xfId="0" applyNumberFormat="1" applyFont="1" applyFill="1" applyBorder="1"/>
    <x:xf numFmtId="0" fontId="21" fillId="15" borderId="1" xfId="0" applyNumberFormat="1" applyFont="1" applyFill="1" applyBorder="1"/>
    <x:xf numFmtId="0" fontId="21" fillId="15" borderId="0" xfId="0" applyNumberFormat="1" applyFont="1" applyFill="1" applyBorder="1" applyAlignment="1">
      <x:alignment horizontal="center"/>
    </x:xf>
    <x:xf numFmtId="0" fontId="21" fillId="15" borderId="1" xfId="0" applyNumberFormat="1" applyFont="1" applyFill="1" applyBorder="1" applyAlignment="1">
      <x:alignment horizontal="center"/>
    </x:xf>
    <x:xf numFmtId="0" fontId="21" fillId="15" borderId="0" xfId="0" applyNumberFormat="1" applyFont="1" applyFill="1" applyBorder="1" applyAlignment="1">
      <x:alignment horizontal="center" vertical="center"/>
    </x:xf>
    <x:xf numFmtId="0" fontId="21" fillId="15" borderId="1" xfId="0" applyNumberFormat="1" applyFont="1" applyFill="1" applyBorder="1" applyAlignment="1">
      <x:alignment horizontal="center" vertical="center"/>
    </x:xf>
    <x:xf numFmtId="0" fontId="0" fillId="0" borderId="31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  <x:xf numFmtId="0" fontId="0" fillId="0" borderId="33" xfId="0" applyNumberFormat="1" applyFont="1" applyFill="1" applyBorder="1" applyAlignment="1">
      <x:alignment wrapText="1"/>
    </x:xf>
    <x:xf numFmtId="0" fontId="0" fillId="0" borderId="28" xfId="0" applyNumberFormat="1" applyFont="1" applyFill="1" applyBorder="1" applyAlignment="1">
      <x:alignment wrapText="1"/>
    </x:xf>
    <x:xf numFmtId="0" fontId="22" fillId="10" borderId="0" xfId="0" applyNumberFormat="1" applyFont="1" applyFill="1" applyBorder="1"/>
    <x:xf numFmtId="0" fontId="22" fillId="10" borderId="1" xfId="0" applyNumberFormat="1" applyFont="1" applyFill="1" applyBorder="1"/>
    <x:xf numFmtId="0" fontId="22" fillId="10" borderId="0" xfId="0" applyNumberFormat="1" applyFont="1" applyFill="1" applyBorder="1" applyAlignment="1">
      <x:alignment wrapText="1"/>
    </x:xf>
    <x:xf numFmtId="0" fontId="22" fillId="1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3" fontId="0" fillId="0" borderId="2" xfId="0" applyNumberFormat="1" applyFont="1" applyFill="1" applyBorder="1"/>
    <x:xf numFmtId="203" fontId="0" fillId="0" borderId="3" xfId="0" applyNumberFormat="1" applyFont="1" applyFill="1" applyBorder="1"/>
    <x:xf numFmtId="203" fontId="0" fillId="0" borderId="4" xfId="0" applyNumberFormat="1" applyFont="1" applyFill="1" applyBorder="1"/>
    <x:xf numFmtId="203" fontId="0" fillId="0" borderId="5" xfId="0" applyNumberFormat="1" applyFont="1" applyFill="1" applyBorder="1"/>
    <x:xf numFmtId="203" fontId="0" fillId="0" borderId="6" xfId="0" applyNumberFormat="1" applyFont="1" applyFill="1" applyBorder="1"/>
    <x:xf numFmtId="203" fontId="0" fillId="0" borderId="7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 applyAlignment="1">
      <x:alignment vertical="center"/>
    </x:xf>
    <x:xf numFmtId="201" fontId="0" fillId="0" borderId="2" xfId="0" applyNumberFormat="1" applyFont="1" applyFill="1" applyBorder="1" applyAlignment="1">
      <x:alignment vertical="center"/>
    </x:xf>
    <x:xf numFmtId="203" fontId="0" fillId="0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200" fontId="0" fillId="0" borderId="3" xfId="0" applyNumberFormat="1" applyFont="1" applyFill="1" applyBorder="1" applyAlignment="1">
      <x:alignment vertical="center"/>
    </x:xf>
    <x:xf numFmtId="201" fontId="0" fillId="0" borderId="3" xfId="0" applyNumberFormat="1" applyFont="1" applyFill="1" applyBorder="1" applyAlignment="1">
      <x:alignment vertical="center"/>
    </x:xf>
    <x:xf numFmtId="203" fontId="0" fillId="0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200" fontId="0" fillId="0" borderId="4" xfId="0" applyNumberFormat="1" applyFont="1" applyFill="1" applyBorder="1" applyAlignment="1">
      <x:alignment vertical="center"/>
    </x:xf>
    <x:xf numFmtId="201" fontId="0" fillId="0" borderId="4" xfId="0" applyNumberFormat="1" applyFont="1" applyFill="1" applyBorder="1" applyAlignment="1">
      <x:alignment vertical="center"/>
    </x:xf>
    <x:xf numFmtId="203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200" fontId="0" fillId="0" borderId="5" xfId="0" applyNumberFormat="1" applyFont="1" applyFill="1" applyBorder="1" applyAlignment="1">
      <x:alignment vertical="center"/>
    </x:xf>
    <x:xf numFmtId="201" fontId="0" fillId="0" borderId="5" xfId="0" applyNumberFormat="1" applyFont="1" applyFill="1" applyBorder="1" applyAlignment="1">
      <x:alignment vertical="center"/>
    </x:xf>
    <x:xf numFmtId="203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200" fontId="0" fillId="0" borderId="6" xfId="0" applyNumberFormat="1" applyFont="1" applyFill="1" applyBorder="1" applyAlignment="1">
      <x:alignment vertical="center"/>
    </x:xf>
    <x:xf numFmtId="201" fontId="0" fillId="0" borderId="6" xfId="0" applyNumberFormat="1" applyFont="1" applyFill="1" applyBorder="1" applyAlignment="1">
      <x:alignment vertical="center"/>
    </x:xf>
    <x:xf numFmtId="203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200" fontId="0" fillId="0" borderId="7" xfId="0" applyNumberFormat="1" applyFont="1" applyFill="1" applyBorder="1" applyAlignment="1">
      <x:alignment vertical="center"/>
    </x:xf>
    <x:xf numFmtId="201" fontId="0" fillId="0" borderId="7" xfId="0" applyNumberFormat="1" applyFont="1" applyFill="1" applyBorder="1" applyAlignment="1">
      <x:alignment vertical="center"/>
    </x:xf>
    <x:xf numFmtId="203" fontId="0" fillId="0" borderId="7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 applyAlignment="1">
      <x:alignment horizontal="center" vertical="center"/>
    </x:xf>
    <x:xf numFmtId="200" fontId="0" fillId="0" borderId="3" xfId="0" applyNumberFormat="1" applyFont="1" applyFill="1" applyBorder="1" applyAlignment="1">
      <x:alignment horizontal="center" vertical="center"/>
    </x:xf>
    <x:xf numFmtId="200" fontId="0" fillId="0" borderId="4" xfId="0" applyNumberFormat="1" applyFont="1" applyFill="1" applyBorder="1" applyAlignment="1">
      <x:alignment horizontal="center" vertical="center"/>
    </x:xf>
    <x:xf numFmtId="200" fontId="0" fillId="0" borderId="5" xfId="0" applyNumberFormat="1" applyFont="1" applyFill="1" applyBorder="1" applyAlignment="1">
      <x:alignment horizontal="center" vertical="center"/>
    </x:xf>
    <x:xf numFmtId="200" fontId="0" fillId="0" borderId="6" xfId="0" applyNumberFormat="1" applyFont="1" applyFill="1" applyBorder="1" applyAlignment="1">
      <x:alignment horizontal="center" vertical="center"/>
    </x:xf>
    <x:xf numFmtId="200" fontId="0" fillId="0" borderId="7" xfId="0" applyNumberFormat="1" applyFont="1" applyFill="1" applyBorder="1" applyAlignment="1">
      <x:alignment horizontal="center" vertical="center"/>
    </x:xf>
    <x:xf numFmtId="201" fontId="0" fillId="0" borderId="2" xfId="0" applyNumberFormat="1" applyFont="1" applyFill="1" applyBorder="1" applyAlignment="1">
      <x:alignment horizontal="right" vertical="center"/>
    </x:xf>
    <x:xf numFmtId="201" fontId="0" fillId="0" borderId="3" xfId="0" applyNumberFormat="1" applyFont="1" applyFill="1" applyBorder="1" applyAlignment="1">
      <x:alignment horizontal="right" vertical="center"/>
    </x:xf>
    <x:xf numFmtId="201" fontId="0" fillId="0" borderId="4" xfId="0" applyNumberFormat="1" applyFont="1" applyFill="1" applyBorder="1" applyAlignment="1">
      <x:alignment horizontal="right" vertical="center"/>
    </x:xf>
    <x:xf numFmtId="201" fontId="0" fillId="0" borderId="5" xfId="0" applyNumberFormat="1" applyFont="1" applyFill="1" applyBorder="1" applyAlignment="1">
      <x:alignment horizontal="right" vertical="center"/>
    </x:xf>
    <x:xf numFmtId="201" fontId="0" fillId="0" borderId="6" xfId="0" applyNumberFormat="1" applyFont="1" applyFill="1" applyBorder="1" applyAlignment="1">
      <x:alignment horizontal="right" vertical="center"/>
    </x:xf>
    <x:xf numFmtId="201" fontId="0" fillId="0" borderId="7" xfId="0" applyNumberFormat="1" applyFont="1" applyFill="1" applyBorder="1" applyAlignment="1">
      <x:alignment horizontal="right" vertical="center"/>
    </x:xf>
    <x:xf numFmtId="0" fontId="0" fillId="0" borderId="2" xfId="0" applyNumberFormat="1" applyFont="1" applyFill="1" applyBorder="1" applyAlignment="1">
      <x:alignment horizontal="center" vertical="center"/>
    </x:xf>
    <x:xf numFmtId="203" fontId="0" fillId="0" borderId="2" xfId="0" applyNumberFormat="1" applyFont="1" applyFill="1" applyBorder="1" applyAlignment="1">
      <x:alignment horizontal="center" vertical="center"/>
    </x:xf>
    <x:xf numFmtId="0" fontId="0" fillId="0" borderId="3" xfId="0" applyNumberFormat="1" applyFont="1" applyFill="1" applyBorder="1" applyAlignment="1">
      <x:alignment horizontal="center" vertical="center"/>
    </x:xf>
    <x:xf numFmtId="203" fontId="0" fillId="0" borderId="3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 applyAlignment="1">
      <x:alignment horizontal="center" vertical="center"/>
    </x:xf>
    <x:xf numFmtId="203" fontId="0" fillId="0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 applyAlignment="1">
      <x:alignment horizontal="center" vertical="center"/>
    </x:xf>
    <x:xf numFmtId="203" fontId="0" fillId="0" borderId="5" xfId="0" applyNumberFormat="1" applyFont="1" applyFill="1" applyBorder="1" applyAlignment="1">
      <x:alignment horizontal="center" vertical="center"/>
    </x:xf>
    <x:xf numFmtId="0" fontId="0" fillId="0" borderId="6" xfId="0" applyNumberFormat="1" applyFont="1" applyFill="1" applyBorder="1" applyAlignment="1">
      <x:alignment horizontal="center" vertical="center"/>
    </x:xf>
    <x:xf numFmtId="203" fontId="0" fillId="0" borderId="6" xfId="0" applyNumberFormat="1" applyFont="1" applyFill="1" applyBorder="1" applyAlignment="1">
      <x:alignment horizontal="center" vertical="center"/>
    </x:xf>
    <x:xf numFmtId="0" fontId="0" fillId="0" borderId="7" xfId="0" applyNumberFormat="1" applyFont="1" applyFill="1" applyBorder="1" applyAlignment="1">
      <x:alignment horizontal="center" vertical="center"/>
    </x:xf>
    <x:xf numFmtId="203" fontId="0" fillId="0" borderId="7" xfId="0" applyNumberFormat="1" applyFont="1" applyFill="1" applyBorder="1" applyAlignment="1">
      <x:alignment horizontal="center" vertical="center"/>
    </x:xf>
    <x:xf numFmtId="0" fontId="23" fillId="14" borderId="0" xfId="0" applyNumberFormat="1" applyFont="1" applyFill="1" applyBorder="1"/>
    <x:xf numFmtId="0" fontId="23" fillId="14" borderId="1" xfId="0" applyNumberFormat="1" applyFont="1" applyFill="1" applyBorder="1"/>
    <x:xf numFmtId="0" fontId="23" fillId="14" borderId="0" xfId="0" applyNumberFormat="1" applyFont="1" applyFill="1" applyBorder="1" applyAlignment="1">
      <x:alignment wrapText="1"/>
    </x:xf>
    <x:xf numFmtId="0" fontId="23" fillId="14" borderId="1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4" fontId="0" fillId="0" borderId="2" xfId="0" applyNumberFormat="1" applyFont="1" applyFill="1" applyBorder="1"/>
    <x:xf numFmtId="202" fontId="0" fillId="0" borderId="2" xfId="0" applyNumberFormat="1" applyFont="1" applyFill="1" applyBorder="1"/>
    <x:xf numFmtId="204" fontId="0" fillId="0" borderId="3" xfId="0" applyNumberFormat="1" applyFont="1" applyFill="1" applyBorder="1"/>
    <x:xf numFmtId="202" fontId="0" fillId="0" borderId="3" xfId="0" applyNumberFormat="1" applyFont="1" applyFill="1" applyBorder="1"/>
    <x:xf numFmtId="204" fontId="0" fillId="0" borderId="4" xfId="0" applyNumberFormat="1" applyFont="1" applyFill="1" applyBorder="1"/>
    <x:xf numFmtId="202" fontId="0" fillId="0" borderId="4" xfId="0" applyNumberFormat="1" applyFont="1" applyFill="1" applyBorder="1"/>
    <x:xf numFmtId="204" fontId="0" fillId="0" borderId="5" xfId="0" applyNumberFormat="1" applyFont="1" applyFill="1" applyBorder="1"/>
    <x:xf numFmtId="202" fontId="0" fillId="0" borderId="5" xfId="0" applyNumberFormat="1" applyFont="1" applyFill="1" applyBorder="1"/>
    <x:xf numFmtId="204" fontId="0" fillId="0" borderId="6" xfId="0" applyNumberFormat="1" applyFont="1" applyFill="1" applyBorder="1"/>
    <x:xf numFmtId="202" fontId="0" fillId="0" borderId="6" xfId="0" applyNumberFormat="1" applyFont="1" applyFill="1" applyBorder="1"/>
    <x:xf numFmtId="204" fontId="0" fillId="0" borderId="7" xfId="0" applyNumberFormat="1" applyFont="1" applyFill="1" applyBorder="1"/>
    <x:xf numFmtId="202" fontId="0" fillId="0" borderId="7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24" fillId="6" borderId="0" xfId="0" applyNumberFormat="1" applyFont="1" applyFill="1" applyBorder="1"/>
    <x:xf numFmtId="0" fontId="24" fillId="6" borderId="1" xfId="0" applyNumberFormat="1" applyFont="1" applyFill="1" applyBorder="1"/>
    <x:xf numFmtId="0" fontId="24" fillId="6" borderId="24" xfId="0" applyNumberFormat="1" applyFont="1" applyFill="1" applyBorder="1"/>
    <x:xf numFmtId="0" fontId="24" fillId="6" borderId="26" xfId="0" applyNumberFormat="1" applyFont="1" applyFill="1" applyBorder="1"/>
    <x:xf numFmtId="0" fontId="24" fillId="6" borderId="27" xfId="0" applyNumberFormat="1" applyFont="1" applyFill="1" applyBorder="1"/>
    <x:xf numFmtId="0" fontId="24" fillId="6" borderId="29" xfId="0" applyNumberFormat="1" applyFont="1" applyFill="1" applyBorder="1"/>
    <x:xf numFmtId="0" fontId="24" fillId="6" borderId="24" xfId="0" applyNumberFormat="1" applyFont="1" applyFill="1" applyBorder="1" applyAlignment="1">
      <x:alignment horizontal="center"/>
    </x:xf>
    <x:xf numFmtId="0" fontId="24" fillId="6" borderId="26" xfId="0" applyNumberFormat="1" applyFont="1" applyFill="1" applyBorder="1" applyAlignment="1">
      <x:alignment horizontal="center"/>
    </x:xf>
    <x:xf numFmtId="0" fontId="24" fillId="6" borderId="27" xfId="0" applyNumberFormat="1" applyFont="1" applyFill="1" applyBorder="1" applyAlignment="1">
      <x:alignment horizontal="center"/>
    </x:xf>
    <x:xf numFmtId="0" fontId="24" fillId="6" borderId="29" xfId="0" applyNumberFormat="1" applyFont="1" applyFill="1" applyBorder="1" applyAlignment="1">
      <x:alignment horizontal="center"/>
    </x:xf>
    <x:xf numFmtId="0" fontId="24" fillId="6" borderId="24" xfId="0" applyNumberFormat="1" applyFont="1" applyFill="1" applyBorder="1" applyAlignment="1">
      <x:alignment horizontal="center" vertical="center"/>
    </x:xf>
    <x:xf numFmtId="0" fontId="24" fillId="6" borderId="26" xfId="0" applyNumberFormat="1" applyFont="1" applyFill="1" applyBorder="1" applyAlignment="1">
      <x:alignment horizontal="center" vertical="center"/>
    </x:xf>
    <x:xf numFmtId="0" fontId="24" fillId="6" borderId="27" xfId="0" applyNumberFormat="1" applyFont="1" applyFill="1" applyBorder="1" applyAlignment="1">
      <x:alignment horizontal="center" vertical="center"/>
    </x:xf>
    <x:xf numFmtId="0" fontId="24" fillId="6" borderId="29" xfId="0" applyNumberFormat="1" applyFont="1" applyFill="1" applyBorder="1" applyAlignment="1">
      <x:alignment horizontal="center" vertical="center"/>
    </x:xf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5" fontId="0" fillId="0" borderId="31" xfId="0" applyNumberFormat="1" applyFont="1" applyFill="1" applyBorder="1"/>
    <x:xf numFmtId="205" fontId="0" fillId="0" borderId="25" xfId="0" applyNumberFormat="1" applyFont="1" applyFill="1" applyBorder="1"/>
    <x:xf numFmtId="205" fontId="0" fillId="0" borderId="33" xfId="0" applyNumberFormat="1" applyFont="1" applyFill="1" applyBorder="1"/>
    <x:xf numFmtId="205" fontId="0" fillId="0" borderId="28" xfId="0" applyNumberFormat="1" applyFont="1" applyFill="1" applyBorder="1"/>
    <x:xf numFmtId="0" fontId="15" fillId="14" borderId="0" xfId="0" applyNumberFormat="1" applyFont="1" applyFill="1" applyBorder="1" applyAlignment="1">
      <x:alignment horizontal="center"/>
    </x:xf>
    <x:xf numFmtId="0" fontId="15" fillId="14" borderId="1" xfId="0" applyNumberFormat="1" applyFont="1" applyFill="1" applyBorder="1" applyAlignment="1">
      <x:alignment horizontal="center"/>
    </x:xf>
    <x:xf numFmtId="0" fontId="1" fillId="11" borderId="0" xfId="0" applyNumberFormat="1" applyFont="1" applyFill="1" applyBorder="1"/>
    <x:xf numFmtId="0" fontId="1" fillId="11" borderId="1" xfId="0" applyNumberFormat="1" applyFont="1" applyFill="1" applyBorder="1"/>
    <x:xf numFmtId="0" fontId="1" fillId="11" borderId="42" xfId="0" applyNumberFormat="1" applyFont="1" applyFill="1" applyBorder="1"/>
    <x:xf numFmtId="0" fontId="1" fillId="11" borderId="43" xfId="0" applyNumberFormat="1" applyFont="1" applyFill="1" applyBorder="1"/>
    <x:xf numFmtId="0" fontId="1" fillId="11" borderId="44" xfId="0" applyNumberFormat="1" applyFont="1" applyFill="1" applyBorder="1"/>
    <x:xf numFmtId="0" fontId="1" fillId="11" borderId="45" xfId="0" applyNumberFormat="1" applyFont="1" applyFill="1" applyBorder="1"/>
    <x:xf numFmtId="0" fontId="1" fillId="11" borderId="46" xfId="0" applyNumberFormat="1" applyFont="1" applyFill="1" applyBorder="1"/>
    <x:xf numFmtId="0" fontId="1" fillId="11" borderId="47" xfId="0" applyNumberFormat="1" applyFont="1" applyFill="1" applyBorder="1"/>
    <x:xf numFmtId="0" fontId="1" fillId="11" borderId="42" xfId="0" applyNumberFormat="1" applyFont="1" applyFill="1" applyBorder="1" applyAlignment="1">
      <x:alignment vertical="center"/>
    </x:xf>
    <x:xf numFmtId="0" fontId="1" fillId="11" borderId="43" xfId="0" applyNumberFormat="1" applyFont="1" applyFill="1" applyBorder="1" applyAlignment="1">
      <x:alignment vertical="center"/>
    </x:xf>
    <x:xf numFmtId="0" fontId="1" fillId="11" borderId="44" xfId="0" applyNumberFormat="1" applyFont="1" applyFill="1" applyBorder="1" applyAlignment="1">
      <x:alignment vertical="center"/>
    </x:xf>
    <x:xf numFmtId="0" fontId="1" fillId="11" borderId="45" xfId="0" applyNumberFormat="1" applyFont="1" applyFill="1" applyBorder="1" applyAlignment="1">
      <x:alignment vertical="center"/>
    </x:xf>
    <x:xf numFmtId="0" fontId="1" fillId="11" borderId="46" xfId="0" applyNumberFormat="1" applyFont="1" applyFill="1" applyBorder="1" applyAlignment="1">
      <x:alignment vertical="center"/>
    </x:xf>
    <x:xf numFmtId="0" fontId="1" fillId="11" borderId="47" xfId="0" applyNumberFormat="1" applyFont="1" applyFill="1" applyBorder="1" applyAlignment="1">
      <x:alignment vertical="center"/>
    </x:xf>
    <x:xf numFmtId="0" fontId="25" fillId="12" borderId="0" xfId="0" applyNumberFormat="1" applyFont="1" applyFill="1" applyBorder="1"/>
    <x:xf numFmtId="0" fontId="25" fillId="12" borderId="1" xfId="0" applyNumberFormat="1" applyFont="1" applyFill="1" applyBorder="1"/>
    <x:xf numFmtId="0" fontId="25" fillId="12" borderId="0" xfId="0" applyNumberFormat="1" applyFont="1" applyFill="1" applyBorder="1" applyAlignment="1">
      <x:alignment wrapText="1"/>
    </x:xf>
    <x:xf numFmtId="0" fontId="25" fillId="12" borderId="1" xfId="0" applyNumberFormat="1" applyFont="1" applyFill="1" applyBorder="1" applyAlignment="1">
      <x:alignment wrapText="1"/>
    </x:xf>
    <x:xf numFmtId="0" fontId="25" fillId="12" borderId="48" xfId="0" applyNumberFormat="1" applyFont="1" applyFill="1" applyBorder="1" applyAlignment="1">
      <x:alignment wrapText="1"/>
    </x:xf>
    <x:xf numFmtId="0" fontId="0" fillId="0" borderId="48" xfId="0" applyNumberFormat="1" applyFont="1" applyFill="1" applyBorder="1"/>
    <x:xf numFmtId="200" fontId="0" fillId="0" borderId="48" xfId="0" applyNumberFormat="1" applyFont="1" applyFill="1" applyBorder="1"/>
    <x:xf numFmtId="0" fontId="25" fillId="12" borderId="49" xfId="0" applyNumberFormat="1" applyFont="1" applyFill="1" applyBorder="1" applyAlignment="1">
      <x:alignment wrapText="1"/>
    </x:xf>
    <x:xf numFmtId="0" fontId="0" fillId="0" borderId="49" xfId="0" applyNumberFormat="1" applyFont="1" applyFill="1" applyBorder="1"/>
    <x:xf numFmtId="200" fontId="0" fillId="0" borderId="49" xfId="0" applyNumberFormat="1" applyFont="1" applyFill="1" applyBorder="1"/>
    <x:xf numFmtId="0" fontId="0" fillId="0" borderId="48" xfId="0" applyNumberFormat="1" applyFont="1" applyFill="1" applyBorder="1" applyAlignment="1">
      <x:alignment wrapText="1"/>
    </x:xf>
  </x:cellXfs>
  <x:cellStyles count="1">
    <x:cellStyle name="Normal" xfId="0"/>
  </x:cellStyles>
  <x:dxfs count="15">
    <x:dxf>
      <x:font>
        <x:b/>
        <x:color rgb="FFC63D3D"/>
      </x:font>
      <x:fill>
        <x:patternFill>
          <x:bgColor rgb="FFFFF4E5"/>
        </x:patternFill>
      </x:fill>
    </x:dxf>
    <x:dxf>
      <x:font>
        <x:b/>
        <x:color rgb="FFC63D3D"/>
      </x:font>
      <x:fill>
        <x:patternFill>
          <x:bgColor rgb="FFFCECEC"/>
        </x:patternFill>
      </x:fill>
    </x:dxf>
    <x:dxf>
      <x:font>
        <x:b/>
        <x:color rgb="FFC63D3D"/>
      </x:font>
      <x:fill>
        <x:patternFill>
          <x:bgColor rgb="FFFCECEC"/>
        </x:patternFill>
      </x:fill>
    </x:dxf>
    <x:dxf>
      <x:font>
        <x:b/>
        <x:color rgb="FF9A5A00"/>
      </x:font>
      <x:fill>
        <x:patternFill>
          <x:bgColor rgb="FFFFF4E5"/>
        </x:patternFill>
      </x:fill>
    </x:dxf>
    <x:dxf>
      <x:font>
        <x:b/>
        <x:color rgb="FFC63D3D"/>
      </x:font>
      <x:fill>
        <x:patternFill>
          <x:bgColor rgb="FFFCECEC"/>
        </x:patternFill>
      </x:fill>
    </x:dxf>
    <x:dxf>
      <x:font>
        <x:b/>
        <x:color rgb="FF6B5CA5"/>
      </x:font>
      <x:fill>
        <x:patternFill>
          <x:bgColor rgb="FFF1EEFA"/>
        </x:patternFill>
      </x:fill>
    </x:dxf>
    <x:dxf>
      <x:font>
        <x:b/>
        <x:color rgb="FF7A4A00"/>
      </x:font>
      <x:fill>
        <x:patternFill>
          <x:bgColor rgb="FFFFF4E5"/>
        </x:patternFill>
      </x:fill>
    </x:dxf>
    <x:dxf>
      <x:font>
        <x:b/>
        <x:color rgb="FFC63D3D"/>
      </x:font>
      <x:fill>
        <x:patternFill>
          <x:bgColor rgb="FFFCECEC"/>
        </x:patternFill>
      </x:fill>
    </x:dxf>
    <x:dxf>
      <x:font>
        <x:b/>
        <x:color rgb="FFC63D3D"/>
      </x:font>
      <x:fill>
        <x:patternFill>
          <x:bgColor rgb="FFFCECEC"/>
        </x:patternFill>
      </x:fill>
    </x:dxf>
    <x:dxf>
      <x:font>
        <x:b/>
        <x:color rgb="FF9A5A00"/>
      </x:font>
      <x:fill>
        <x:patternFill>
          <x:bgColor rgb="FFFFF4E5"/>
        </x:patternFill>
      </x:fill>
    </x:dxf>
    <x:dxf>
      <x:font>
        <x:b/>
        <x:color rgb="FFC63D3D"/>
      </x:font>
      <x:fill>
        <x:patternFill>
          <x:bgColor rgb="FFFCECEC"/>
        </x:patternFill>
      </x:fill>
    </x:dxf>
    <x:dxf>
      <x:font>
        <x:b/>
        <x:color rgb="FF9A5A00"/>
      </x:font>
      <x:fill>
        <x:patternFill>
          <x:bgColor rgb="FFFFF4E5"/>
        </x:patternFill>
      </x:fill>
    </x:dxf>
    <x:dxf>
      <x:font>
        <x:b/>
        <x:color rgb="FF6B5CA5"/>
      </x:font>
      <x:fill>
        <x:patternFill>
          <x:bgColor rgb="FFF1EEFA"/>
        </x:patternFill>
      </x:fill>
    </x:dxf>
    <x:dxf>
      <x:font>
        <x:b/>
        <x:color rgb="FF2E7D32"/>
      </x:font>
      <x:fill>
        <x:patternFill>
          <x:bgColor rgb="FFEAF5EA"/>
        </x:patternFill>
      </x:fill>
    </x:dxf>
    <x:dxf>
      <x:font>
        <x:b/>
        <x:color rgb="FFC63D3D"/>
      </x:font>
      <x:fill>
        <x:patternFill>
          <x:bgColor rgb="FFFC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90f7eedc724ed4" /><Relationship Type="http://schemas.openxmlformats.org/officeDocument/2006/relationships/theme" Target="/xl/theme/theme1.xml" Id="Rd53d9aa7c49a4e89" /><Relationship Type="http://schemas.openxmlformats.org/officeDocument/2006/relationships/sharedStrings" Target="/xl/sharedStrings.xml" Id="R369a9ec25b794d7d" /><Relationship Type="http://schemas.openxmlformats.org/officeDocument/2006/relationships/worksheet" Target="/xl/worksheets/sheet1.xml" Id="R2cae2b96a38a4c33" /><Relationship Type="http://schemas.openxmlformats.org/officeDocument/2006/relationships/worksheet" Target="/xl/worksheets/sheet2.xml" Id="R6e42ef89be35427e" /><Relationship Type="http://schemas.openxmlformats.org/officeDocument/2006/relationships/worksheet" Target="/xl/worksheets/sheet3.xml" Id="Rf80c6786a55d4cf0" /><Relationship Type="http://schemas.openxmlformats.org/officeDocument/2006/relationships/worksheet" Target="/xl/worksheets/sheet4.xml" Id="Racb1fb1ef80642ab" /><Relationship Type="http://schemas.openxmlformats.org/officeDocument/2006/relationships/worksheet" Target="/xl/worksheets/sheet5.xml" Id="R9aec950127674e14" /><Relationship Type="http://schemas.microsoft.com/office/2017/10/relationships/person" Target="/xl/persons/person.xml" Id="R75851a63d9af4ab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4f8eddca07b42bb" /><Relationship Type="http://schemas.openxmlformats.org/officeDocument/2006/relationships/chart" Target="/xl/drawings/charts/chart2.xml" Id="R8e5049e4943d44c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AR Balance by Aging Bucket ($)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autoTitleDeleted val="0"/>
    <c:plotArea>
      <c:layout/>
      <c:barChart>
        <c:barDir val="col"/>
        <c:varyColors val="0"/>
        <c:ser>
          <c:idx val="0"/>
          <c:order val="0"/>
          <c:tx>
            <c:v>Balance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'Dashboard'!$A$17:$A$22</c:f>
              <c:strCache>
                <c:ptCount val="0"/>
              </c:strCache>
            </c:strRef>
          </c:cat>
          <c:val>
            <c:numRef>
              <c:f>'Dashboard'!$B$17:$B$22</c:f>
              <c:numCache>
                <c:formatCode>"$"#,##0;[Red]("$"#,##0);-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Top 5 Customers by Overdue AR ($)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autoTitleDeleted val="0"/>
    <c:plotArea>
      <c:layout/>
      <c:barChart>
        <c:barDir val="col"/>
        <c:varyColors val="0"/>
        <c:ser>
          <c:idx val="0"/>
          <c:order val="0"/>
          <c:tx>
            <c:v>Overdue AR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'Dashboard'!$A$26:$A$30</c:f>
              <c:strCache>
                <c:ptCount val="0"/>
              </c:strCache>
            </c:strRef>
          </c:cat>
          <c:val>
            <c:numRef>
              <c:f>'Dashboard'!$B$26:$B$30</c:f>
              <c:numCache>
                <c:formatCode>"$"#,##0;[Red]("$"#,##0);-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15</xdr:row>
      <xdr:rowOff>0</xdr:rowOff>
    </xdr:from>
    <xdr:to>
      <xdr:col>10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4f8eddca07b42bb"/>
        </a:graphicData>
      </a:graphic>
    </xdr:graphicFrame>
    <xdr:clientData/>
  </xdr:twoCellAnchor>
  <xdr:twoCellAnchor>
    <xdr:from>
      <xdr:col>10</xdr:col>
      <xdr:colOff>0</xdr:colOff>
      <xdr:row>15</xdr:row>
      <xdr:rowOff>0</xdr:rowOff>
    </xdr:from>
    <xdr:to>
      <xdr:col>15</xdr:col>
      <xdr:colOff>0</xdr:colOff>
      <xdr:row>31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e5049e4943d44c4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SanDAce07" id="{9AAB63D4-7C64-4F9F-B181-6573A7D03633}"/>
</xltc:personList>
</file>

<file path=xl/tables/table1.xml><?xml version="1.0" encoding="utf-8"?>
<x:table xmlns:x="http://schemas.openxmlformats.org/spreadsheetml/2006/main" id="1" name="SourceDataTable" displayName="SourceDataTable" ref="A1:G51" headerRowCount="1">
  <x:autoFilter ref="A1:G51"/>
  <x:tableColumns count="7">
    <x:tableColumn id="1" name="customer"/>
    <x:tableColumn id="2" name="invoice_number"/>
    <x:tableColumn id="3" name="invoice_date"/>
    <x:tableColumn id="4" name="due_date"/>
    <x:tableColumn id="5" name="balance"/>
    <x:tableColumn id="6" name="status"/>
    <x:tableColumn id="7" name="payment_method"/>
  </x:tableColumns>
  <x:tableStyleInfo name="TableStyleMedium2" showRowStripes="1"/>
</x:table>
</file>

<file path=xl/tables/table2.xml><?xml version="1.0" encoding="utf-8"?>
<x:table xmlns:x="http://schemas.openxmlformats.org/spreadsheetml/2006/main" id="2" name="InvoiceAgingTable" displayName="InvoiceAgingTable" ref="A6:M56" headerRowCount="1">
  <x:autoFilter ref="A6:M56"/>
  <x:tableColumns count="13">
    <x:tableColumn id="1" name="Customer"/>
    <x:tableColumn id="2" name="Invoice #"/>
    <x:tableColumn id="3" name="Invoice Date"/>
    <x:tableColumn id="4" name="Due Date"/>
    <x:tableColumn id="5" name="Open Balance"/>
    <x:tableColumn id="6" name="Status"/>
    <x:tableColumn id="7" name="Payment Method"/>
    <x:tableColumn id="8" name="As-of Date"/>
    <x:tableColumn id="9" name="Days Past Due"/>
    <x:tableColumn id="10" name="Aging Bucket"/>
    <x:tableColumn id="11" name="Overdue?"/>
    <x:tableColumn id="12" name="Risk Flag"/>
    <x:tableColumn id="13" name="Exception Note"/>
  </x:tableColumns>
  <x:tableStyleInfo name="TableStyleMedium2" showRowStripes="1"/>
</x:table>
</file>

<file path=xl/tables/table3.xml><?xml version="1.0" encoding="utf-8"?>
<x:table xmlns:x="http://schemas.openxmlformats.org/spreadsheetml/2006/main" id="3" name="CustomerAgingTable" displayName="CustomerAgingTable" ref="A6:M26" headerRowCount="1">
  <x:autoFilter ref="A6:M26"/>
  <x:tableColumns count="13">
    <x:tableColumn id="1" name="Customer"/>
    <x:tableColumn id="2" name="Invoice Count"/>
    <x:tableColumn id="3" name="Total AR"/>
    <x:tableColumn id="4" name="Overdue AR"/>
    <x:tableColumn id="5" name="Current"/>
    <x:tableColumn id="6" name="1-30"/>
    <x:tableColumn id="7" name="31-60"/>
    <x:tableColumn id="8" name="61-90"/>
    <x:tableColumn id="9" name="90+"/>
    <x:tableColumn id="10" name="Unknown"/>
    <x:tableColumn id="11" name="Max DPD"/>
    <x:tableColumn id="12" name="% Positive AR"/>
    <x:tableColumn id="13" name="Collection Priority"/>
  </x:tableColumns>
  <x:tableStyleInfo name="TableStyleMedium4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4" dT="2026-06-29T23:32:06.174" personId="{9AAB63D4-7C64-4F9F-B181-6573A7D03633}" id="{61E8187A-9AE5-944E-3C21-60BF43C8BD57}">
    <xltc:text>Source: sample_ar_aging_data.csv | As-of: 2026-06-30 | Assumption: reporting cutoff selected for this portfolio scenario.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49fbcdd46af4fa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5de6ab2105d64602" /><Relationship Type="http://schemas.openxmlformats.org/officeDocument/2006/relationships/vmlDrawing" Target="/xl/drawings/vmldrawing.vml" Id="R47b3d950c5434122" /><Relationship Type="http://schemas.microsoft.com/office/2017/10/relationships/threadedComment" Target="/xl/threadedcomments/threadedcomment.xml" Id="R97a2bebed21d464a" /><Relationship Type="http://schemas.openxmlformats.org/officeDocument/2006/relationships/drawing" Target="/xl/drawings/drawing1.xml" Id="Rd5fe298b7e174d6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4ea0a62fc4e4d6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bb4de7e5a03415f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8" hidden="0" customWidth="1"/>
    <x:col min="2" max="2" width="16" hidden="0" customWidth="1"/>
    <x:col min="3" max="3" width="14" hidden="0" customWidth="1"/>
    <x:col min="4" max="4" width="14" hidden="0" customWidth="1"/>
    <x:col min="5" max="5" width="16" hidden="0" customWidth="1"/>
    <x:col min="6" max="6" width="13" hidden="0" customWidth="1"/>
    <x:col min="7" max="7" width="17" hidden="0" customWidth="1"/>
    <x:col min="8" max="8" width="3" hidden="0" customWidth="1"/>
    <x:col min="9" max="9" width="15" hidden="0" customWidth="1"/>
    <x:col min="10" max="10" width="62" hidden="0" customWidth="1"/>
  </x:cols>
  <x:sheetData>
    <x:row r="1">
      <x:c r="A1" s="10" t="str">
        <x:v>customer</x:v>
      </x:c>
      <x:c r="B1" s="10" t="str">
        <x:v>invoice_number</x:v>
      </x:c>
      <x:c r="C1" s="10" t="str">
        <x:v>invoice_date</x:v>
      </x:c>
      <x:c r="D1" s="10" t="str">
        <x:v>due_date</x:v>
      </x:c>
      <x:c r="E1" s="10" t="str">
        <x:v>balance</x:v>
      </x:c>
      <x:c r="F1" s="10" t="str">
        <x:v>status</x:v>
      </x:c>
      <x:c r="G1" s="10" t="str">
        <x:v>payment_method</x:v>
      </x:c>
      <x:c r="I1" s="38" t="str">
        <x:v>SOURCE &amp; REFRESH NOTES</x:v>
      </x:c>
      <x:c r="J1" s="39" t="str">
        <x:v>SOURCE &amp; REFRESH NOTES</x:v>
      </x:c>
    </x:row>
    <x:row r="2">
      <x:c r="A2" s="12" t="str">
        <x:v>Acadia Health Partners</x:v>
      </x:c>
      <x:c r="B2" s="12" t="str">
        <x:v>INV-1001</x:v>
      </x:c>
      <x:c r="C2" s="18" t="n">
        <x:v>46096</x:v>
      </x:c>
      <x:c r="D2" s="18" t="n">
        <x:v>46126</x:v>
      </x:c>
      <x:c r="E2" s="24" t="n">
        <x:v>18250</x:v>
      </x:c>
      <x:c r="F2" s="12" t="str">
        <x:v>Open</x:v>
      </x:c>
      <x:c r="G2" s="12" t="str">
        <x:v>ACH</x:v>
      </x:c>
      <x:c r="I2" s="52" t="str">
        <x:v>Source</x:v>
      </x:c>
      <x:c r="J2" s="53" t="str">
        <x:v>sample_ar_aging_data.csv</x:v>
      </x:c>
    </x:row>
    <x:row r="3">
      <x:c r="A3" s="13" t="str">
        <x:v>Acadia Health Partners</x:v>
      </x:c>
      <x:c r="B3" s="13" t="str">
        <x:v>INV-1002</x:v>
      </x:c>
      <x:c r="C3" s="19" t="n">
        <x:v>46061</x:v>
      </x:c>
      <x:c r="D3" s="19" t="n">
        <x:v>46091</x:v>
      </x:c>
      <x:c r="E3" s="25" t="n">
        <x:v>22400</x:v>
      </x:c>
      <x:c r="F3" s="13" t="str">
        <x:v>Open</x:v>
      </x:c>
      <x:c r="G3" s="13" t="str">
        <x:v>Check</x:v>
      </x:c>
      <x:c r="I3" s="54" t="str">
        <x:v>As-of date</x:v>
      </x:c>
      <x:c r="J3" s="55" t="n">
        <x:v>46203</x:v>
      </x:c>
    </x:row>
    <x:row r="4">
      <x:c r="A4" s="13" t="str">
        <x:v>Bayou Industrial Supply</x:v>
      </x:c>
      <x:c r="B4" s="13" t="str">
        <x:v>INV-1003</x:v>
      </x:c>
      <x:c r="C4" s="19" t="n">
        <x:v>46027</x:v>
      </x:c>
      <x:c r="D4" s="19" t="n">
        <x:v>46057</x:v>
      </x:c>
      <x:c r="E4" s="25" t="n">
        <x:v>31750</x:v>
      </x:c>
      <x:c r="F4" s="13" t="str">
        <x:v>Open</x:v>
      </x:c>
      <x:c r="G4" s="13" t="str">
        <x:v>Wire</x:v>
      </x:c>
      <x:c r="I4" s="54" t="str">
        <x:v>Input rows</x:v>
      </x:c>
      <x:c r="J4" s="56" t="n">
        <x:v>50</x:v>
      </x:c>
    </x:row>
    <x:row r="5" ht="20" customHeight="1">
      <x:c r="A5" s="13" t="str">
        <x:v>Crescent Retail Group</x:v>
      </x:c>
      <x:c r="B5" s="13" t="str">
        <x:v>INV-1004</x:v>
      </x:c>
      <x:c r="C5" s="19" t="n">
        <x:v>46162</x:v>
      </x:c>
      <x:c r="D5" s="19" t="n">
        <x:v>46192</x:v>
      </x:c>
      <x:c r="E5" s="25" t="n">
        <x:v>9600</x:v>
      </x:c>
      <x:c r="F5" s="13" t="str">
        <x:v>Open</x:v>
      </x:c>
      <x:c r="G5" s="13" t="str">
        <x:v>Credit Card</x:v>
      </x:c>
      <x:c r="I5" s="54" t="str">
        <x:v>Refresh</x:v>
      </x:c>
      <x:c r="J5" s="56" t="str">
        <x:v>Update rows in columns A:G; formulas recalculate across the workbook.</x:v>
      </x:c>
    </x:row>
    <x:row r="6">
      <x:c r="A6" s="13" t="str">
        <x:v>Delta Municipal Services</x:v>
      </x:c>
      <x:c r="B6" s="13" t="str">
        <x:v>INV-1005</x:v>
      </x:c>
      <x:c r="C6" s="19" t="n">
        <x:v>46011</x:v>
      </x:c>
      <x:c r="D6" s="19" t="n">
        <x:v>46041</x:v>
      </x:c>
      <x:c r="E6" s="25" t="n">
        <x:v>48120</x:v>
      </x:c>
      <x:c r="F6" s="13" t="str">
        <x:v>Open</x:v>
      </x:c>
      <x:c r="G6" s="13" t="str">
        <x:v>ACH</x:v>
      </x:c>
      <x:c r="I6" s="57" t="str">
        <x:v>Repository</x:v>
      </x:c>
      <x:c r="J6" s="58" t="str">
        <x:v>https://github.com/SanDAce07/accounting-projects-portfolio</x:v>
      </x:c>
    </x:row>
    <x:row r="7">
      <x:c r="A7" s="13" t="str">
        <x:v>Evergreen Medical Labs</x:v>
      </x:c>
      <x:c r="B7" s="13" t="str">
        <x:v>INV-1006</x:v>
      </x:c>
      <x:c r="C7" s="19" t="n">
        <x:v>46123</x:v>
      </x:c>
      <x:c r="D7" s="19" t="n">
        <x:v>46153</x:v>
      </x:c>
      <x:c r="E7" s="25" t="n">
        <x:v>14220</x:v>
      </x:c>
      <x:c r="F7" s="13" t="str">
        <x:v>Open</x:v>
      </x:c>
      <x:c r="G7" s="13" t="str">
        <x:v>Check</x:v>
      </x:c>
    </x:row>
    <x:row r="8">
      <x:c r="A8" s="13" t="str">
        <x:v>Frontier Logistics</x:v>
      </x:c>
      <x:c r="B8" s="13" t="str">
        <x:v>INV-1007</x:v>
      </x:c>
      <x:c r="C8" s="19" t="n">
        <x:v>46112</x:v>
      </x:c>
      <x:c r="D8" s="19" t="n">
        <x:v>46142</x:v>
      </x:c>
      <x:c r="E8" s="25" t="n">
        <x:v>12500</x:v>
      </x:c>
      <x:c r="F8" s="13" t="str">
        <x:v>Open</x:v>
      </x:c>
      <x:c r="G8" s="13" t="str">
        <x:v>Wire</x:v>
      </x:c>
    </x:row>
    <x:row r="9">
      <x:c r="A9" s="13" t="str">
        <x:v>Gulf Coast Manufacturing</x:v>
      </x:c>
      <x:c r="B9" s="13" t="str">
        <x:v>INV-1008</x:v>
      </x:c>
      <x:c r="C9" s="19" t="n">
        <x:v>45979</x:v>
      </x:c>
      <x:c r="D9" s="19" t="n">
        <x:v>46009</x:v>
      </x:c>
      <x:c r="E9" s="25" t="n">
        <x:v>59200</x:v>
      </x:c>
      <x:c r="F9" s="13" t="str">
        <x:v>Open</x:v>
      </x:c>
      <x:c r="G9" s="13" t="str">
        <x:v>ACH</x:v>
      </x:c>
    </x:row>
    <x:row r="10">
      <x:c r="A10" s="13" t="str">
        <x:v>Harbor Energy Co.</x:v>
      </x:c>
      <x:c r="B10" s="13" t="str">
        <x:v>INV-1009</x:v>
      </x:c>
      <x:c r="C10" s="19" t="n">
        <x:v>46150</x:v>
      </x:c>
      <x:c r="D10" s="19" t="n">
        <x:v>46180</x:v>
      </x:c>
      <x:c r="E10" s="25" t="n">
        <x:v>8800</x:v>
      </x:c>
      <x:c r="F10" s="13" t="str">
        <x:v>Open</x:v>
      </x:c>
      <x:c r="G10" s="13" t="str">
        <x:v>Credit Card</x:v>
      </x:c>
    </x:row>
    <x:row r="11">
      <x:c r="A11" s="13" t="str">
        <x:v>Ivory Tech Consulting</x:v>
      </x:c>
      <x:c r="B11" s="13" t="str">
        <x:v>INV-1010</x:v>
      </x:c>
      <x:c r="C11" s="19" t="n">
        <x:v>46054</x:v>
      </x:c>
      <x:c r="D11" s="19" t="n">
        <x:v>46084</x:v>
      </x:c>
      <x:c r="E11" s="25" t="n">
        <x:v>17110</x:v>
      </x:c>
      <x:c r="F11" s="13" t="str">
        <x:v>Open</x:v>
      </x:c>
      <x:c r="G11" s="13" t="str">
        <x:v>Check</x:v>
      </x:c>
    </x:row>
    <x:row r="12">
      <x:c r="A12" s="13" t="str">
        <x:v>Jefferson Community Care</x:v>
      </x:c>
      <x:c r="B12" s="13" t="str">
        <x:v>INV-1011</x:v>
      </x:c>
      <x:c r="C12" s="19" t="n">
        <x:v>46021</x:v>
      </x:c>
      <x:c r="D12" s="19" t="n">
        <x:v>46051</x:v>
      </x:c>
      <x:c r="E12" s="25" t="n">
        <x:v>26500</x:v>
      </x:c>
      <x:c r="F12" s="13" t="str">
        <x:v>Open</x:v>
      </x:c>
      <x:c r="G12" s="13" t="str">
        <x:v>ACH</x:v>
      </x:c>
    </x:row>
    <x:row r="13">
      <x:c r="A13" s="13" t="str">
        <x:v>Keystone Distribution</x:v>
      </x:c>
      <x:c r="B13" s="13" t="str">
        <x:v>INV-1012</x:v>
      </x:c>
      <x:c r="C13" s="19" t="n">
        <x:v>46101</x:v>
      </x:c>
      <x:c r="D13" s="19" t="n">
        <x:v>46131</x:v>
      </x:c>
      <x:c r="E13" s="25" t="n">
        <x:v>-2400</x:v>
      </x:c>
      <x:c r="F13" s="13" t="str">
        <x:v>Open</x:v>
      </x:c>
      <x:c r="G13" s="13" t="str">
        <x:v>Credit Memo</x:v>
      </x:c>
    </x:row>
    <x:row r="14">
      <x:c r="A14" s="13" t="str">
        <x:v>Lafayette Public Works</x:v>
      </x:c>
      <x:c r="B14" s="13" t="str">
        <x:v>INV-1013</x:v>
      </x:c>
      <x:c r="C14" s="19" t="n">
        <x:v>46140</x:v>
      </x:c>
      <x:c r="D14" s="19"/>
      <x:c r="E14" s="25" t="n">
        <x:v>11200</x:v>
      </x:c>
      <x:c r="F14" s="13" t="str">
        <x:v>Open</x:v>
      </x:c>
      <x:c r="G14" s="13" t="str">
        <x:v>ACH</x:v>
      </x:c>
    </x:row>
    <x:row r="15">
      <x:c r="A15" s="13" t="str">
        <x:v>Magnolia Property Group</x:v>
      </x:c>
      <x:c r="B15" s="13" t="str">
        <x:v>INV-1014</x:v>
      </x:c>
      <x:c r="C15" s="19" t="n">
        <x:v>46133</x:v>
      </x:c>
      <x:c r="D15" s="19" t="n">
        <x:v>46163</x:v>
      </x:c>
      <x:c r="E15" s="25" t="n">
        <x:v>0</x:v>
      </x:c>
      <x:c r="F15" s="13" t="str">
        <x:v>Closed</x:v>
      </x:c>
      <x:c r="G15" s="13" t="str">
        <x:v>Wire</x:v>
      </x:c>
    </x:row>
    <x:row r="16">
      <x:c r="A16" s="13" t="str">
        <x:v>North Delta Equipment</x:v>
      </x:c>
      <x:c r="B16" s="13" t="str">
        <x:v>INV-1015</x:v>
      </x:c>
      <x:c r="C16" s="19" t="n">
        <x:v>46154</x:v>
      </x:c>
      <x:c r="D16" s="19" t="n">
        <x:v>46184</x:v>
      </x:c>
      <x:c r="E16" s="25" t="n">
        <x:v>13450</x:v>
      </x:c>
      <x:c r="F16" s="13" t="str">
        <x:v>Partial</x:v>
      </x:c>
      <x:c r="G16" s="13" t="str">
        <x:v>ACH</x:v>
      </x:c>
    </x:row>
    <x:row r="17">
      <x:c r="A17" s="13" t="str">
        <x:v>Orchid Wholesale</x:v>
      </x:c>
      <x:c r="B17" s="13" t="str">
        <x:v>INV-1016</x:v>
      </x:c>
      <x:c r="C17" s="19" t="n">
        <x:v>46048</x:v>
      </x:c>
      <x:c r="D17" s="19" t="n">
        <x:v>46078</x:v>
      </x:c>
      <x:c r="E17" s="25" t="n">
        <x:v>20875</x:v>
      </x:c>
      <x:c r="F17" s="13" t="str">
        <x:v>Open</x:v>
      </x:c>
      <x:c r="G17" s="13" t="str">
        <x:v>Check</x:v>
      </x:c>
    </x:row>
    <x:row r="18">
      <x:c r="A18" s="13"/>
      <x:c r="B18" s="13"/>
      <x:c r="C18" s="19"/>
      <x:c r="D18" s="19"/>
      <x:c r="E18" s="25"/>
      <x:c r="F18" s="13"/>
      <x:c r="G18" s="13"/>
    </x:row>
    <x:row r="19">
      <x:c r="A19" s="13"/>
      <x:c r="B19" s="13"/>
      <x:c r="C19" s="19"/>
      <x:c r="D19" s="19"/>
      <x:c r="E19" s="25"/>
      <x:c r="F19" s="13"/>
      <x:c r="G19" s="13"/>
    </x:row>
    <x:row r="20">
      <x:c r="A20" s="13"/>
      <x:c r="B20" s="13"/>
      <x:c r="C20" s="19"/>
      <x:c r="D20" s="19"/>
      <x:c r="E20" s="25"/>
      <x:c r="F20" s="13"/>
      <x:c r="G20" s="13"/>
    </x:row>
    <x:row r="21">
      <x:c r="A21" s="13"/>
      <x:c r="B21" s="13"/>
      <x:c r="C21" s="19"/>
      <x:c r="D21" s="19"/>
      <x:c r="E21" s="25"/>
      <x:c r="F21" s="13"/>
      <x:c r="G21" s="13"/>
    </x:row>
    <x:row r="22">
      <x:c r="A22" s="13"/>
      <x:c r="B22" s="13"/>
      <x:c r="C22" s="19"/>
      <x:c r="D22" s="19"/>
      <x:c r="E22" s="25"/>
      <x:c r="F22" s="13"/>
      <x:c r="G22" s="13"/>
    </x:row>
    <x:row r="23">
      <x:c r="A23" s="13"/>
      <x:c r="B23" s="13"/>
      <x:c r="C23" s="19"/>
      <x:c r="D23" s="19"/>
      <x:c r="E23" s="25"/>
      <x:c r="F23" s="13"/>
      <x:c r="G23" s="13"/>
    </x:row>
    <x:row r="24">
      <x:c r="A24" s="13"/>
      <x:c r="B24" s="13"/>
      <x:c r="C24" s="19"/>
      <x:c r="D24" s="19"/>
      <x:c r="E24" s="25"/>
      <x:c r="F24" s="13"/>
      <x:c r="G24" s="13"/>
    </x:row>
    <x:row r="25">
      <x:c r="A25" s="13"/>
      <x:c r="B25" s="13"/>
      <x:c r="C25" s="19"/>
      <x:c r="D25" s="19"/>
      <x:c r="E25" s="25"/>
      <x:c r="F25" s="13"/>
      <x:c r="G25" s="13"/>
    </x:row>
    <x:row r="26">
      <x:c r="A26" s="13"/>
      <x:c r="B26" s="13"/>
      <x:c r="C26" s="19"/>
      <x:c r="D26" s="19"/>
      <x:c r="E26" s="25"/>
      <x:c r="F26" s="13"/>
      <x:c r="G26" s="13"/>
    </x:row>
    <x:row r="27">
      <x:c r="A27" s="13"/>
      <x:c r="B27" s="13"/>
      <x:c r="C27" s="19"/>
      <x:c r="D27" s="19"/>
      <x:c r="E27" s="25"/>
      <x:c r="F27" s="13"/>
      <x:c r="G27" s="13"/>
    </x:row>
    <x:row r="28">
      <x:c r="A28" s="13"/>
      <x:c r="B28" s="13"/>
      <x:c r="C28" s="19"/>
      <x:c r="D28" s="19"/>
      <x:c r="E28" s="25"/>
      <x:c r="F28" s="13"/>
      <x:c r="G28" s="13"/>
    </x:row>
    <x:row r="29">
      <x:c r="A29" s="13"/>
      <x:c r="B29" s="13"/>
      <x:c r="C29" s="19"/>
      <x:c r="D29" s="19"/>
      <x:c r="E29" s="25"/>
      <x:c r="F29" s="13"/>
      <x:c r="G29" s="13"/>
    </x:row>
    <x:row r="30">
      <x:c r="A30" s="13"/>
      <x:c r="B30" s="13"/>
      <x:c r="C30" s="19"/>
      <x:c r="D30" s="19"/>
      <x:c r="E30" s="25"/>
      <x:c r="F30" s="13"/>
      <x:c r="G30" s="13"/>
    </x:row>
    <x:row r="31">
      <x:c r="A31" s="13"/>
      <x:c r="B31" s="13"/>
      <x:c r="C31" s="19"/>
      <x:c r="D31" s="19"/>
      <x:c r="E31" s="25"/>
      <x:c r="F31" s="13"/>
      <x:c r="G31" s="13"/>
    </x:row>
    <x:row r="32">
      <x:c r="A32" s="13"/>
      <x:c r="B32" s="13"/>
      <x:c r="C32" s="19"/>
      <x:c r="D32" s="19"/>
      <x:c r="E32" s="25"/>
      <x:c r="F32" s="13"/>
      <x:c r="G32" s="13"/>
    </x:row>
    <x:row r="33">
      <x:c r="A33" s="13"/>
      <x:c r="B33" s="13"/>
      <x:c r="C33" s="19"/>
      <x:c r="D33" s="19"/>
      <x:c r="E33" s="25"/>
      <x:c r="F33" s="13"/>
      <x:c r="G33" s="13"/>
    </x:row>
    <x:row r="34">
      <x:c r="A34" s="13"/>
      <x:c r="B34" s="13"/>
      <x:c r="C34" s="19"/>
      <x:c r="D34" s="19"/>
      <x:c r="E34" s="25"/>
      <x:c r="F34" s="13"/>
      <x:c r="G34" s="13"/>
    </x:row>
    <x:row r="35">
      <x:c r="A35" s="13"/>
      <x:c r="B35" s="13"/>
      <x:c r="C35" s="19"/>
      <x:c r="D35" s="19"/>
      <x:c r="E35" s="25"/>
      <x:c r="F35" s="13"/>
      <x:c r="G35" s="13"/>
    </x:row>
    <x:row r="36">
      <x:c r="A36" s="13"/>
      <x:c r="B36" s="13"/>
      <x:c r="C36" s="19"/>
      <x:c r="D36" s="19"/>
      <x:c r="E36" s="25"/>
      <x:c r="F36" s="13"/>
      <x:c r="G36" s="13"/>
    </x:row>
    <x:row r="37">
      <x:c r="A37" s="13"/>
      <x:c r="B37" s="13"/>
      <x:c r="C37" s="19"/>
      <x:c r="D37" s="19"/>
      <x:c r="E37" s="25"/>
      <x:c r="F37" s="13"/>
      <x:c r="G37" s="13"/>
    </x:row>
    <x:row r="38">
      <x:c r="A38" s="13"/>
      <x:c r="B38" s="13"/>
      <x:c r="C38" s="19"/>
      <x:c r="D38" s="19"/>
      <x:c r="E38" s="25"/>
      <x:c r="F38" s="13"/>
      <x:c r="G38" s="13"/>
    </x:row>
    <x:row r="39">
      <x:c r="A39" s="13"/>
      <x:c r="B39" s="13"/>
      <x:c r="C39" s="19"/>
      <x:c r="D39" s="19"/>
      <x:c r="E39" s="25"/>
      <x:c r="F39" s="13"/>
      <x:c r="G39" s="13"/>
    </x:row>
    <x:row r="40">
      <x:c r="A40" s="13"/>
      <x:c r="B40" s="13"/>
      <x:c r="C40" s="19"/>
      <x:c r="D40" s="19"/>
      <x:c r="E40" s="25"/>
      <x:c r="F40" s="13"/>
      <x:c r="G40" s="13"/>
    </x:row>
    <x:row r="41">
      <x:c r="A41" s="13"/>
      <x:c r="B41" s="13"/>
      <x:c r="C41" s="19"/>
      <x:c r="D41" s="19"/>
      <x:c r="E41" s="25"/>
      <x:c r="F41" s="13"/>
      <x:c r="G41" s="13"/>
    </x:row>
    <x:row r="42">
      <x:c r="A42" s="13"/>
      <x:c r="B42" s="13"/>
      <x:c r="C42" s="19"/>
      <x:c r="D42" s="19"/>
      <x:c r="E42" s="25"/>
      <x:c r="F42" s="13"/>
      <x:c r="G42" s="13"/>
    </x:row>
    <x:row r="43">
      <x:c r="A43" s="13"/>
      <x:c r="B43" s="13"/>
      <x:c r="C43" s="19"/>
      <x:c r="D43" s="19"/>
      <x:c r="E43" s="25"/>
      <x:c r="F43" s="13"/>
      <x:c r="G43" s="13"/>
    </x:row>
    <x:row r="44">
      <x:c r="A44" s="13"/>
      <x:c r="B44" s="13"/>
      <x:c r="C44" s="19"/>
      <x:c r="D44" s="19"/>
      <x:c r="E44" s="25"/>
      <x:c r="F44" s="13"/>
      <x:c r="G44" s="13"/>
    </x:row>
    <x:row r="45">
      <x:c r="A45" s="13"/>
      <x:c r="B45" s="13"/>
      <x:c r="C45" s="19"/>
      <x:c r="D45" s="19"/>
      <x:c r="E45" s="25"/>
      <x:c r="F45" s="13"/>
      <x:c r="G45" s="13"/>
    </x:row>
    <x:row r="46">
      <x:c r="A46" s="13"/>
      <x:c r="B46" s="13"/>
      <x:c r="C46" s="19"/>
      <x:c r="D46" s="19"/>
      <x:c r="E46" s="25"/>
      <x:c r="F46" s="13"/>
      <x:c r="G46" s="13"/>
    </x:row>
    <x:row r="47">
      <x:c r="A47" s="13"/>
      <x:c r="B47" s="13"/>
      <x:c r="C47" s="19"/>
      <x:c r="D47" s="19"/>
      <x:c r="E47" s="25"/>
      <x:c r="F47" s="13"/>
      <x:c r="G47" s="13"/>
    </x:row>
    <x:row r="48">
      <x:c r="A48" s="13"/>
      <x:c r="B48" s="13"/>
      <x:c r="C48" s="19"/>
      <x:c r="D48" s="19"/>
      <x:c r="E48" s="25"/>
      <x:c r="F48" s="13"/>
      <x:c r="G48" s="13"/>
    </x:row>
    <x:row r="49">
      <x:c r="A49" s="13"/>
      <x:c r="B49" s="13"/>
      <x:c r="C49" s="19"/>
      <x:c r="D49" s="19"/>
      <x:c r="E49" s="25"/>
      <x:c r="F49" s="13"/>
      <x:c r="G49" s="13"/>
    </x:row>
    <x:row r="50">
      <x:c r="A50" s="13"/>
      <x:c r="B50" s="13"/>
      <x:c r="C50" s="19"/>
      <x:c r="D50" s="19"/>
      <x:c r="E50" s="25"/>
      <x:c r="F50" s="13"/>
      <x:c r="G50" s="13"/>
    </x:row>
    <x:row r="51">
      <x:c r="A51" s="14"/>
      <x:c r="B51" s="14"/>
      <x:c r="C51" s="20"/>
      <x:c r="D51" s="20"/>
      <x:c r="E51" s="26"/>
      <x:c r="F51" s="14"/>
      <x:c r="G51" s="14"/>
    </x:row>
  </x:sheetData>
  <x:mergeCells>
    <x:mergeCell ref="I1:J1"/>
  </x:mergeCells>
  <x:conditionalFormatting sqref="D2:D51">
    <x:cfRule type="expression" dxfId="0" priority="1">
      <x:formula>AND($A2&lt;&gt;"",$D2="",$F2&lt;&gt;"Closed")</x:formula>
    </x:cfRule>
  </x:conditionalFormatting>
  <x:conditionalFormatting sqref="E2:E51">
    <x:cfRule type="cellIs" dxfId="1" priority="2" operator="lessThan">
      <x:formula>0</x:formula>
    </x:cfRule>
  </x:conditionalFormatting>
  <x:dataValidations count="2">
    <x:dataValidation type="list" sqref="F2:F51">
      <x:formula1>"Open,Partial,Closed"</x:formula1>
    </x:dataValidation>
    <x:dataValidation type="list" sqref="G2:G51">
      <x:formula1>"ACH,Check,Wire,Credit Card,Credit Memo"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49fbcdd46af4fa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5" hidden="0" customWidth="1"/>
    <x:col min="3" max="3" width="15" hidden="0" customWidth="1"/>
    <x:col min="4" max="4" width="3" hidden="0" customWidth="1"/>
    <x:col min="5" max="5" width="16" hidden="0" customWidth="1"/>
    <x:col min="6" max="6" width="15" hidden="0" customWidth="1"/>
    <x:col min="7" max="7" width="15" hidden="0" customWidth="1"/>
    <x:col min="8" max="8" width="3" hidden="0" customWidth="1"/>
    <x:col min="9" max="9" width="16" hidden="0" customWidth="1"/>
    <x:col min="10" max="10" width="15" hidden="0" customWidth="1"/>
    <x:col min="11" max="11" width="15" hidden="0" customWidth="1"/>
    <x:col min="12" max="12" width="3" hidden="0" customWidth="1"/>
    <x:col min="13" max="13" width="16" hidden="0" customWidth="1"/>
    <x:col min="14" max="14" width="15" hidden="0" customWidth="1"/>
    <x:col min="15" max="15" width="15" hidden="0" customWidth="1"/>
  </x:cols>
  <x:sheetData>
    <x:row r="1" ht="30" customHeight="1">
      <x:c r="A1" s="70" t="str">
        <x:v>Accounts Receivable Aging Dashboard</x:v>
      </x:c>
      <x:c r="B1" s="70" t="str">
        <x:v>Accounts Receivable Aging Dashboard</x:v>
      </x:c>
      <x:c r="C1" s="70" t="str">
        <x:v>Accounts Receivable Aging Dashboard</x:v>
      </x:c>
      <x:c r="D1" s="70" t="str">
        <x:v>Accounts Receivable Aging Dashboard</x:v>
      </x:c>
      <x:c r="E1" s="70" t="str">
        <x:v>Accounts Receivable Aging Dashboard</x:v>
      </x:c>
      <x:c r="F1" s="70" t="str">
        <x:v>Accounts Receivable Aging Dashboard</x:v>
      </x:c>
      <x:c r="G1" s="70" t="str">
        <x:v>Accounts Receivable Aging Dashboard</x:v>
      </x:c>
      <x:c r="H1" s="70" t="str">
        <x:v>Accounts Receivable Aging Dashboard</x:v>
      </x:c>
      <x:c r="I1" s="70" t="str">
        <x:v>Accounts Receivable Aging Dashboard</x:v>
      </x:c>
      <x:c r="J1" s="70" t="str">
        <x:v>Accounts Receivable Aging Dashboard</x:v>
      </x:c>
      <x:c r="K1" s="70" t="str">
        <x:v>Accounts Receivable Aging Dashboard</x:v>
      </x:c>
      <x:c r="L1" s="70" t="str">
        <x:v>Accounts Receivable Aging Dashboard</x:v>
      </x:c>
      <x:c r="M1" s="70" t="str">
        <x:v>Accounts Receivable Aging Dashboard</x:v>
      </x:c>
      <x:c r="N1" s="70" t="str">
        <x:v>Accounts Receivable Aging Dashboard</x:v>
      </x:c>
      <x:c r="O1" s="70" t="str">
        <x:v>Accounts Receivable Aging Dashboard</x:v>
      </x:c>
    </x:row>
    <x:row r="2" ht="30" customHeight="1">
      <x:c r="A2" s="70" t="str">
        <x:v>Accounts Receivable Aging Dashboard</x:v>
      </x:c>
      <x:c r="B2" s="70" t="str">
        <x:v>Accounts Receivable Aging Dashboard</x:v>
      </x:c>
      <x:c r="C2" s="70" t="str">
        <x:v>Accounts Receivable Aging Dashboard</x:v>
      </x:c>
      <x:c r="D2" s="70" t="str">
        <x:v>Accounts Receivable Aging Dashboard</x:v>
      </x:c>
      <x:c r="E2" s="70" t="str">
        <x:v>Accounts Receivable Aging Dashboard</x:v>
      </x:c>
      <x:c r="F2" s="70" t="str">
        <x:v>Accounts Receivable Aging Dashboard</x:v>
      </x:c>
      <x:c r="G2" s="70" t="str">
        <x:v>Accounts Receivable Aging Dashboard</x:v>
      </x:c>
      <x:c r="H2" s="70" t="str">
        <x:v>Accounts Receivable Aging Dashboard</x:v>
      </x:c>
      <x:c r="I2" s="70" t="str">
        <x:v>Accounts Receivable Aging Dashboard</x:v>
      </x:c>
      <x:c r="J2" s="70" t="str">
        <x:v>Accounts Receivable Aging Dashboard</x:v>
      </x:c>
      <x:c r="K2" s="70" t="str">
        <x:v>Accounts Receivable Aging Dashboard</x:v>
      </x:c>
      <x:c r="L2" s="70" t="str">
        <x:v>Accounts Receivable Aging Dashboard</x:v>
      </x:c>
      <x:c r="M2" s="70" t="str">
        <x:v>Accounts Receivable Aging Dashboard</x:v>
      </x:c>
      <x:c r="N2" s="70" t="str">
        <x:v>Accounts Receivable Aging Dashboard</x:v>
      </x:c>
      <x:c r="O2" s="70" t="str">
        <x:v>Accounts Receivable Aging Dashboard</x:v>
      </x:c>
    </x:row>
    <x:row r="3" ht="22" customHeight="1">
      <x:c r="A3" s="76" t="str">
        <x:v>Portfolio view of collection exposure, aging mix, customer concentration, and exceptions</x:v>
      </x:c>
      <x:c r="B3" s="76" t="str">
        <x:v>Portfolio view of collection exposure, aging mix, customer concentration, and exceptions</x:v>
      </x:c>
      <x:c r="C3" s="76" t="str">
        <x:v>Portfolio view of collection exposure, aging mix, customer concentration, and exceptions</x:v>
      </x:c>
      <x:c r="D3" s="76" t="str">
        <x:v>Portfolio view of collection exposure, aging mix, customer concentration, and exceptions</x:v>
      </x:c>
      <x:c r="E3" s="76" t="str">
        <x:v>Portfolio view of collection exposure, aging mix, customer concentration, and exceptions</x:v>
      </x:c>
      <x:c r="F3" s="76" t="str">
        <x:v>Portfolio view of collection exposure, aging mix, customer concentration, and exceptions</x:v>
      </x:c>
      <x:c r="G3" s="76" t="str">
        <x:v>Portfolio view of collection exposure, aging mix, customer concentration, and exceptions</x:v>
      </x:c>
      <x:c r="H3" s="76" t="str">
        <x:v>Portfolio view of collection exposure, aging mix, customer concentration, and exceptions</x:v>
      </x:c>
      <x:c r="I3" s="76" t="str">
        <x:v>Portfolio view of collection exposure, aging mix, customer concentration, and exceptions</x:v>
      </x:c>
      <x:c r="J3" s="76" t="str">
        <x:v>Portfolio view of collection exposure, aging mix, customer concentration, and exceptions</x:v>
      </x:c>
      <x:c r="K3" s="76" t="str">
        <x:v>Portfolio view of collection exposure, aging mix, customer concentration, and exceptions</x:v>
      </x:c>
      <x:c r="L3" s="76" t="str">
        <x:v>Portfolio view of collection exposure, aging mix, customer concentration, and exceptions</x:v>
      </x:c>
      <x:c r="M3" s="76" t="str">
        <x:v>Portfolio view of collection exposure, aging mix, customer concentration, and exceptions</x:v>
      </x:c>
      <x:c r="N3" s="76" t="str">
        <x:v>Portfolio view of collection exposure, aging mix, customer concentration, and exceptions</x:v>
      </x:c>
      <x:c r="O3" s="76" t="str">
        <x:v>Portfolio view of collection exposure, aging mix, customer concentration, and exceptions</x:v>
      </x:c>
    </x:row>
    <x:row r="4">
      <x:c r="A4" s="82" t="str">
        <x:v>As-of date</x:v>
      </x:c>
      <x:c r="B4" s="84" t="n">
        <x:v>46203</x:v>
      </x:c>
      <x:c r="C4" s="80"/>
      <x:c r="D4" s="80"/>
      <x:c r="E4" s="86" t="str">
        <x:v>Portfolio owner</x:v>
      </x:c>
      <x:c r="F4" s="86" t="str">
        <x:v>Portfolio owner</x:v>
      </x:c>
      <x:c r="G4" s="80" t="str">
        <x:v>Sandesh Lama Tamang</x:v>
      </x:c>
      <x:c r="H4" s="80"/>
      <x:c r="I4" s="82" t="str">
        <x:v>Version</x:v>
      </x:c>
      <x:c r="J4" s="80" t="str">
        <x:v>1.0</x:v>
      </x:c>
      <x:c r="K4" s="80"/>
      <x:c r="L4" s="80"/>
      <x:c r="M4" s="86" t="str">
        <x:v>Model status</x:v>
      </x:c>
      <x:c r="N4" s="86" t="str">
        <x:v>Model status</x:v>
      </x:c>
      <x:c r="O4" s="92" t="str">
        <x:f>'Control Checks'!$B$4</x:f>
        <x:v>PASS</x:v>
      </x:c>
    </x:row>
    <x:row r="6">
      <x:c r="A6" s="108" t="str">
        <x:v>TOTAL OPEN AR</x:v>
      </x:c>
      <x:c r="B6" s="109" t="str">
        <x:v>TOTAL OPEN AR</x:v>
      </x:c>
      <x:c r="C6" s="110" t="str">
        <x:v>TOTAL OPEN AR</x:v>
      </x:c>
      <x:c r="E6" s="200" t="str">
        <x:v>POSITIVE RECEIVABLE EXPOSURE</x:v>
      </x:c>
      <x:c r="F6" s="201" t="str">
        <x:v>POSITIVE RECEIVABLE EXPOSURE</x:v>
      </x:c>
      <x:c r="G6" s="202" t="str">
        <x:v>POSITIVE RECEIVABLE EXPOSURE</x:v>
      </x:c>
      <x:c r="I6" s="222" t="str">
        <x:v>OVERDUE POSITIVE BALANCE</x:v>
      </x:c>
      <x:c r="J6" s="223" t="str">
        <x:v>OVERDUE POSITIVE BALANCE</x:v>
      </x:c>
      <x:c r="K6" s="224" t="str">
        <x:v>OVERDUE POSITIVE BALANCE</x:v>
      </x:c>
      <x:c r="M6" s="318" t="str">
        <x:v>% OF POSITIVE AR OVERDUE</x:v>
      </x:c>
      <x:c r="N6" s="319" t="str">
        <x:v>% OF POSITIVE AR OVERDUE</x:v>
      </x:c>
      <x:c r="O6" s="320" t="str">
        <x:v>% OF POSITIVE AR OVERDUE</x:v>
      </x:c>
    </x:row>
    <x:row r="7">
      <x:c r="A7" s="168" t="n">
        <x:f>SUMIFS('Invoice Detail'!$E$7:$E$56,'Invoice Detail'!$F$7:$F$56,"&lt;&gt;Closed")</x:f>
        <x:v>311575</x:v>
      </x:c>
      <x:c r="B7" s="169"/>
      <x:c r="C7" s="170"/>
      <x:c r="E7" s="168" t="n">
        <x:f>SUMIF('Invoice Detail'!$E$7:$E$56,"&gt;0",'Invoice Detail'!$E$7:$E$56)</x:f>
        <x:v>313975</x:v>
      </x:c>
      <x:c r="F7" s="169"/>
      <x:c r="G7" s="170"/>
      <x:c r="I7" s="284" t="n">
        <x:f>SUMIFS('Invoice Detail'!$E$7:$E$56,'Invoice Detail'!$K$7:$K$56,"Yes")</x:f>
        <x:v>302775</x:v>
      </x:c>
      <x:c r="J7" s="285"/>
      <x:c r="K7" s="286"/>
      <x:c r="M7" s="380" t="n">
        <x:f>IFERROR(I7/E7,0)</x:f>
        <x:v>0.9643283700931603</x:v>
      </x:c>
      <x:c r="N7" s="381"/>
      <x:c r="O7" s="382"/>
    </x:row>
    <x:row r="8">
      <x:c r="A8" s="171"/>
      <x:c r="B8" s="172"/>
      <x:c r="C8" s="173"/>
      <x:c r="E8" s="171"/>
      <x:c r="F8" s="172"/>
      <x:c r="G8" s="173"/>
      <x:c r="I8" s="287"/>
      <x:c r="J8" s="288"/>
      <x:c r="K8" s="289"/>
      <x:c r="M8" s="383"/>
      <x:c r="N8" s="384"/>
      <x:c r="O8" s="385"/>
    </x:row>
    <x:row r="9">
      <x:c r="A9" s="174"/>
      <x:c r="B9" s="175"/>
      <x:c r="C9" s="176"/>
      <x:c r="E9" s="174"/>
      <x:c r="F9" s="175"/>
      <x:c r="G9" s="176"/>
      <x:c r="I9" s="290"/>
      <x:c r="J9" s="291"/>
      <x:c r="K9" s="292"/>
      <x:c r="M9" s="386"/>
      <x:c r="N9" s="387"/>
      <x:c r="O9" s="388"/>
    </x:row>
    <x:row r="11">
      <x:c r="A11" s="108" t="str">
        <x:v>OPEN / PARTIAL INVOICES</x:v>
      </x:c>
      <x:c r="B11" s="109" t="str">
        <x:v>OPEN / PARTIAL INVOICES</x:v>
      </x:c>
      <x:c r="C11" s="110" t="str">
        <x:v>OPEN / PARTIAL INVOICES</x:v>
      </x:c>
      <x:c r="E11" s="222" t="str">
        <x:v>90+ DAY BALANCE</x:v>
      </x:c>
      <x:c r="F11" s="223" t="str">
        <x:v>90+ DAY BALANCE</x:v>
      </x:c>
      <x:c r="G11" s="224" t="str">
        <x:v>90+ DAY BALANCE</x:v>
      </x:c>
      <x:c r="I11" s="486" t="str">
        <x:v>EXCEPTION RECORDS</x:v>
      </x:c>
      <x:c r="J11" s="487" t="str">
        <x:v>EXCEPTION RECORDS</x:v>
      </x:c>
      <x:c r="K11" s="488" t="str">
        <x:v>EXCEPTION RECORDS</x:v>
      </x:c>
      <x:c r="M11" s="582" t="str">
        <x:v>LARGEST CUSTOMER EXPOSURE</x:v>
      </x:c>
      <x:c r="N11" s="583" t="str">
        <x:v>LARGEST CUSTOMER EXPOSURE</x:v>
      </x:c>
      <x:c r="O11" s="584" t="str">
        <x:v>LARGEST CUSTOMER EXPOSURE</x:v>
      </x:c>
    </x:row>
    <x:row r="12">
      <x:c r="A12" s="452" t="n">
        <x:f>COUNTIF('Invoice Detail'!$F$7:$F$56,"Open")+COUNTIF('Invoice Detail'!$F$7:$F$56,"Partial")</x:f>
        <x:v>15</x:v>
      </x:c>
      <x:c r="B12" s="453"/>
      <x:c r="C12" s="454"/>
      <x:c r="E12" s="284" t="n">
        <x:f>SUMIF('Invoice Detail'!$J$7:$J$56,"90+",'Invoice Detail'!$E$7:$E$56)</x:f>
        <x:v>225955</x:v>
      </x:c>
      <x:c r="F12" s="285"/>
      <x:c r="G12" s="286"/>
      <x:c r="I12" s="548" t="n">
        <x:f>COUNTIF('Invoice Detail'!$L$7:$L$56,"Review")</x:f>
        <x:v>2</x:v>
      </x:c>
      <x:c r="J12" s="549"/>
      <x:c r="K12" s="550"/>
      <x:c r="M12" s="604" t="str">
        <x:f>'Customer Summary'!$A$7</x:f>
        <x:v>Gulf Coast Manufacturing</x:v>
      </x:c>
      <x:c r="N12" s="605"/>
      <x:c r="O12" s="606"/>
    </x:row>
    <x:row r="13">
      <x:c r="A13" s="455"/>
      <x:c r="B13" s="456"/>
      <x:c r="C13" s="457"/>
      <x:c r="E13" s="287"/>
      <x:c r="F13" s="288"/>
      <x:c r="G13" s="289"/>
      <x:c r="I13" s="551"/>
      <x:c r="J13" s="552"/>
      <x:c r="K13" s="553"/>
      <x:c r="M13" s="648" t="n">
        <x:f>'Customer Summary'!$C$7</x:f>
        <x:v>59200</x:v>
      </x:c>
      <x:c r="N13" s="649"/>
      <x:c r="O13" s="650"/>
    </x:row>
    <x:row r="14">
      <x:c r="A14" s="458"/>
      <x:c r="B14" s="459"/>
      <x:c r="C14" s="460"/>
      <x:c r="E14" s="290"/>
      <x:c r="F14" s="291"/>
      <x:c r="G14" s="292"/>
      <x:c r="I14" s="554"/>
      <x:c r="J14" s="555"/>
      <x:c r="K14" s="556"/>
      <x:c r="M14" s="651"/>
      <x:c r="N14" s="652"/>
      <x:c r="O14" s="653"/>
    </x:row>
    <x:row r="16">
      <x:c r="A16" s="38" t="str">
        <x:v>Aging Bucket</x:v>
      </x:c>
      <x:c r="B16" s="662" t="str">
        <x:v>Balance</x:v>
      </x:c>
      <x:c r="C16" s="39" t="str">
        <x:v>% of Positive AR</x:v>
      </x:c>
    </x:row>
    <x:row r="17">
      <x:c r="A17" s="668" t="str">
        <x:v>Current</x:v>
      </x:c>
      <x:c r="B17" s="669" t="n">
        <x:f>SUMIF('Invoice Detail'!$J$7:$J$56,A17,'Invoice Detail'!$E$7:$E$56)</x:f>
        <x:v>0</x:v>
      </x:c>
      <x:c r="C17" s="670" t="n">
        <x:f>IFERROR(B17/$E$7,0)</x:f>
        <x:v>0</x:v>
      </x:c>
    </x:row>
    <x:row r="18">
      <x:c r="A18" s="671" t="str">
        <x:v>1-30</x:v>
      </x:c>
      <x:c r="B18" s="672" t="n">
        <x:f>SUMIF('Invoice Detail'!$J$7:$J$56,A18,'Invoice Detail'!$E$7:$E$56)</x:f>
        <x:v>31850</x:v>
      </x:c>
      <x:c r="C18" s="673" t="n">
        <x:f>IFERROR(B18/$E$7,0)</x:f>
        <x:v>0.10144119754757544</x:v>
      </x:c>
    </x:row>
    <x:row r="19">
      <x:c r="A19" s="671" t="str">
        <x:v>31-60</x:v>
      </x:c>
      <x:c r="B19" s="672" t="n">
        <x:f>SUMIF('Invoice Detail'!$J$7:$J$56,A19,'Invoice Detail'!$E$7:$E$56)</x:f>
        <x:v>14220</x:v>
      </x:c>
      <x:c r="C19" s="673" t="n">
        <x:f>IFERROR(B19/$E$7,0)</x:f>
        <x:v>0.045290230113862566</x:v>
      </x:c>
    </x:row>
    <x:row r="20">
      <x:c r="A20" s="671" t="str">
        <x:v>61-90</x:v>
      </x:c>
      <x:c r="B20" s="672" t="n">
        <x:f>SUMIF('Invoice Detail'!$J$7:$J$56,A20,'Invoice Detail'!$E$7:$E$56)</x:f>
        <x:v>28350</x:v>
      </x:c>
      <x:c r="C20" s="673" t="n">
        <x:f>IFERROR(B20/$E$7,0)</x:f>
        <x:v>0.09029381320168803</x:v>
      </x:c>
    </x:row>
    <x:row r="21">
      <x:c r="A21" s="686" t="str">
        <x:v>90+</x:v>
      </x:c>
      <x:c r="B21" s="687" t="n">
        <x:f>SUMIF('Invoice Detail'!$J$7:$J$56,A21,'Invoice Detail'!$E$7:$E$56)</x:f>
        <x:v>225955</x:v>
      </x:c>
      <x:c r="C21" s="688" t="n">
        <x:f>IFERROR(B21/$E$7,0)</x:f>
        <x:v>0.7196592085357114</x:v>
      </x:c>
    </x:row>
    <x:row r="22">
      <x:c r="A22" s="698" t="str">
        <x:v>Unknown</x:v>
      </x:c>
      <x:c r="B22" s="699" t="n">
        <x:f>SUMIF('Invoice Detail'!$J$7:$J$56,A22,'Invoice Detail'!$E$7:$E$56)</x:f>
        <x:v>11200</x:v>
      </x:c>
      <x:c r="C22" s="700" t="n">
        <x:f>IFERROR(B22/$E$7,0)</x:f>
        <x:v>0.03567162990683972</x:v>
      </x:c>
    </x:row>
    <x:row r="25">
      <x:c r="A25" s="710" t="str">
        <x:v>Top Customer</x:v>
      </x:c>
      <x:c r="B25" s="711" t="str">
        <x:v>Overdue AR</x:v>
      </x:c>
      <x:c r="C25" s="712" t="str">
        <x:v>Total AR</x:v>
      </x:c>
    </x:row>
    <x:row r="26" ht="28" customHeight="1">
      <x:c r="A26" s="940" t="str">
        <x:f>'Customer Summary'!A7</x:f>
        <x:v>Gulf Coast Manufacturing</x:v>
      </x:c>
      <x:c r="B26" s="669" t="n">
        <x:f>'Customer Summary'!D7</x:f>
        <x:v>59200</x:v>
      </x:c>
      <x:c r="C26" s="669" t="n">
        <x:f>'Customer Summary'!C7</x:f>
        <x:v>59200</x:v>
      </x:c>
    </x:row>
    <x:row r="27" ht="28" customHeight="1">
      <x:c r="A27" s="941" t="str">
        <x:f>'Customer Summary'!A8</x:f>
        <x:v>Delta Municipal Services</x:v>
      </x:c>
      <x:c r="B27" s="672" t="n">
        <x:f>'Customer Summary'!D8</x:f>
        <x:v>48120</x:v>
      </x:c>
      <x:c r="C27" s="672" t="n">
        <x:f>'Customer Summary'!C8</x:f>
        <x:v>48120</x:v>
      </x:c>
    </x:row>
    <x:row r="28" ht="28" customHeight="1">
      <x:c r="A28" s="941" t="str">
        <x:f>'Customer Summary'!A9</x:f>
        <x:v>Acadia Health Partners</x:v>
      </x:c>
      <x:c r="B28" s="672" t="n">
        <x:f>'Customer Summary'!D9</x:f>
        <x:v>40650</x:v>
      </x:c>
      <x:c r="C28" s="672" t="n">
        <x:f>'Customer Summary'!C9</x:f>
        <x:v>40650</x:v>
      </x:c>
    </x:row>
    <x:row r="29" ht="28" customHeight="1">
      <x:c r="A29" s="941" t="str">
        <x:f>'Customer Summary'!A10</x:f>
        <x:v>Bayou Industrial Supply</x:v>
      </x:c>
      <x:c r="B29" s="672" t="n">
        <x:f>'Customer Summary'!D10</x:f>
        <x:v>31750</x:v>
      </x:c>
      <x:c r="C29" s="672" t="n">
        <x:f>'Customer Summary'!C10</x:f>
        <x:v>31750</x:v>
      </x:c>
    </x:row>
    <x:row r="30" ht="28" customHeight="1">
      <x:c r="A30" s="941" t="str">
        <x:f>'Customer Summary'!A11</x:f>
        <x:v>Jefferson Community Care</x:v>
      </x:c>
      <x:c r="B30" s="672" t="n">
        <x:f>'Customer Summary'!D11</x:f>
        <x:v>26500</x:v>
      </x:c>
      <x:c r="C30" s="672" t="n">
        <x:f>'Customer Summary'!C11</x:f>
        <x:v>26500</x:v>
      </x:c>
    </x:row>
    <x:row r="34">
      <x:c r="A34" s="38" t="str">
        <x:v>COLLECTION INSIGHTS</x:v>
      </x:c>
      <x:c r="B34" s="662" t="str">
        <x:v>COLLECTION INSIGHTS</x:v>
      </x:c>
      <x:c r="C34" s="662" t="str">
        <x:v>COLLECTION INSIGHTS</x:v>
      </x:c>
      <x:c r="D34" s="662" t="str">
        <x:v>COLLECTION INSIGHTS</x:v>
      </x:c>
      <x:c r="E34" s="662" t="str">
        <x:v>COLLECTION INSIGHTS</x:v>
      </x:c>
      <x:c r="F34" s="662" t="str">
        <x:v>COLLECTION INSIGHTS</x:v>
      </x:c>
      <x:c r="G34" s="662" t="str">
        <x:v>COLLECTION INSIGHTS</x:v>
      </x:c>
      <x:c r="H34" s="662" t="str">
        <x:v>COLLECTION INSIGHTS</x:v>
      </x:c>
      <x:c r="I34" s="662" t="str">
        <x:v>COLLECTION INSIGHTS</x:v>
      </x:c>
      <x:c r="J34" s="662" t="str">
        <x:v>COLLECTION INSIGHTS</x:v>
      </x:c>
      <x:c r="K34" s="662" t="str">
        <x:v>COLLECTION INSIGHTS</x:v>
      </x:c>
      <x:c r="L34" s="662" t="str">
        <x:v>COLLECTION INSIGHTS</x:v>
      </x:c>
      <x:c r="M34" s="662" t="str">
        <x:v>COLLECTION INSIGHTS</x:v>
      </x:c>
      <x:c r="N34" s="662" t="str">
        <x:v>COLLECTION INSIGHTS</x:v>
      </x:c>
      <x:c r="O34" s="39" t="str">
        <x:v>COLLECTION INSIGHTS</x:v>
      </x:c>
    </x:row>
    <x:row r="35">
      <x:c r="A35" s="938" t="str">
        <x:v>90+ share of positive AR</x:v>
      </x:c>
      <x:c r="B35" s="938" t="str">
        <x:v>90+ share of positive AR</x:v>
      </x:c>
      <x:c r="C35" s="938" t="str">
        <x:v>90+ share of positive AR</x:v>
      </x:c>
      <x:c r="D35" s="938"/>
      <x:c r="E35" s="938" t="str">
        <x:v>Top 3 customer concentration</x:v>
      </x:c>
      <x:c r="F35" s="938" t="str">
        <x:v>Top 3 customer concentration</x:v>
      </x:c>
      <x:c r="G35" s="938" t="str">
        <x:v>Top 3 customer concentration</x:v>
      </x:c>
      <x:c r="H35" s="938" t="str">
        <x:v>Top 3 customer concentration</x:v>
      </x:c>
      <x:c r="I35" s="938"/>
      <x:c r="J35" s="938" t="str">
        <x:v>Recommended collection focus</x:v>
      </x:c>
      <x:c r="K35" s="938" t="str">
        <x:v>Recommended collection focus</x:v>
      </x:c>
      <x:c r="L35" s="938" t="str">
        <x:v>Recommended collection focus</x:v>
      </x:c>
      <x:c r="M35" s="938" t="str">
        <x:v>Recommended collection focus</x:v>
      </x:c>
      <x:c r="N35" s="938" t="str">
        <x:v>Recommended collection focus</x:v>
      </x:c>
      <x:c r="O35" s="938" t="str">
        <x:v>Recommended collection focus</x:v>
      </x:c>
    </x:row>
    <x:row r="36">
      <x:c r="A36" s="770" t="n">
        <x:f>IFERROR($E$12/$E$7,0)</x:f>
        <x:v>0.7196592085357114</x:v>
      </x:c>
      <x:c r="B36" s="771"/>
      <x:c r="C36" s="772"/>
      <x:c r="E36" s="842" t="n">
        <x:f>IFERROR(SUM('Customer Summary'!$C$7:$C$9)/$E$7,0)</x:f>
        <x:v>0.4712795604745601</x:v>
      </x:c>
      <x:c r="F36" s="843"/>
      <x:c r="G36" s="843"/>
      <x:c r="H36" s="844"/>
      <x:c r="J36" s="914" t="str">
        <x:v>Prioritize 90+ balances, confirm the missing due date, and investigate the negative credit balance before the next collections review.</x:v>
      </x:c>
      <x:c r="K36" s="915" t="str">
        <x:v>Prioritize 90+ balances, confirm the missing due date, and investigate the negative credit balance before the next collections review.</x:v>
      </x:c>
      <x:c r="L36" s="915" t="str">
        <x:v>Prioritize 90+ balances, confirm the missing due date, and investigate the negative credit balance before the next collections review.</x:v>
      </x:c>
      <x:c r="M36" s="915" t="str">
        <x:v>Prioritize 90+ balances, confirm the missing due date, and investigate the negative credit balance before the next collections review.</x:v>
      </x:c>
      <x:c r="N36" s="915" t="str">
        <x:v>Prioritize 90+ balances, confirm the missing due date, and investigate the negative credit balance before the next collections review.</x:v>
      </x:c>
      <x:c r="O36" s="916" t="str">
        <x:v>Prioritize 90+ balances, confirm the missing due date, and investigate the negative credit balance before the next collections review.</x:v>
      </x:c>
    </x:row>
    <x:row r="37">
      <x:c r="A37" s="773"/>
      <x:c r="B37" s="774"/>
      <x:c r="C37" s="775"/>
      <x:c r="E37" s="845"/>
      <x:c r="F37" s="846"/>
      <x:c r="G37" s="846"/>
      <x:c r="H37" s="847"/>
      <x:c r="J37" s="917" t="str">
        <x:v>Prioritize 90+ balances, confirm the missing due date, and investigate the negative credit balance before the next collections review.</x:v>
      </x:c>
      <x:c r="K37" s="918" t="str">
        <x:v>Prioritize 90+ balances, confirm the missing due date, and investigate the negative credit balance before the next collections review.</x:v>
      </x:c>
      <x:c r="L37" s="918" t="str">
        <x:v>Prioritize 90+ balances, confirm the missing due date, and investigate the negative credit balance before the next collections review.</x:v>
      </x:c>
      <x:c r="M37" s="918" t="str">
        <x:v>Prioritize 90+ balances, confirm the missing due date, and investigate the negative credit balance before the next collections review.</x:v>
      </x:c>
      <x:c r="N37" s="918" t="str">
        <x:v>Prioritize 90+ balances, confirm the missing due date, and investigate the negative credit balance before the next collections review.</x:v>
      </x:c>
      <x:c r="O37" s="919" t="str">
        <x:v>Prioritize 90+ balances, confirm the missing due date, and investigate the negative credit balance before the next collections review.</x:v>
      </x:c>
    </x:row>
    <x:row r="38">
      <x:c r="A38" s="773"/>
      <x:c r="B38" s="774"/>
      <x:c r="C38" s="775"/>
      <x:c r="E38" s="845"/>
      <x:c r="F38" s="846"/>
      <x:c r="G38" s="846"/>
      <x:c r="H38" s="847"/>
      <x:c r="J38" s="917" t="str">
        <x:v>Prioritize 90+ balances, confirm the missing due date, and investigate the negative credit balance before the next collections review.</x:v>
      </x:c>
      <x:c r="K38" s="918" t="str">
        <x:v>Prioritize 90+ balances, confirm the missing due date, and investigate the negative credit balance before the next collections review.</x:v>
      </x:c>
      <x:c r="L38" s="918" t="str">
        <x:v>Prioritize 90+ balances, confirm the missing due date, and investigate the negative credit balance before the next collections review.</x:v>
      </x:c>
      <x:c r="M38" s="918" t="str">
        <x:v>Prioritize 90+ balances, confirm the missing due date, and investigate the negative credit balance before the next collections review.</x:v>
      </x:c>
      <x:c r="N38" s="918" t="str">
        <x:v>Prioritize 90+ balances, confirm the missing due date, and investigate the negative credit balance before the next collections review.</x:v>
      </x:c>
      <x:c r="O38" s="919" t="str">
        <x:v>Prioritize 90+ balances, confirm the missing due date, and investigate the negative credit balance before the next collections review.</x:v>
      </x:c>
    </x:row>
    <x:row r="39">
      <x:c r="A39" s="776"/>
      <x:c r="B39" s="777"/>
      <x:c r="C39" s="778"/>
      <x:c r="E39" s="848"/>
      <x:c r="F39" s="849"/>
      <x:c r="G39" s="849"/>
      <x:c r="H39" s="850"/>
      <x:c r="J39" s="920" t="str">
        <x:v>Prioritize 90+ balances, confirm the missing due date, and investigate the negative credit balance before the next collections review.</x:v>
      </x:c>
      <x:c r="K39" s="921" t="str">
        <x:v>Prioritize 90+ balances, confirm the missing due date, and investigate the negative credit balance before the next collections review.</x:v>
      </x:c>
      <x:c r="L39" s="921" t="str">
        <x:v>Prioritize 90+ balances, confirm the missing due date, and investigate the negative credit balance before the next collections review.</x:v>
      </x:c>
      <x:c r="M39" s="921" t="str">
        <x:v>Prioritize 90+ balances, confirm the missing due date, and investigate the negative credit balance before the next collections review.</x:v>
      </x:c>
      <x:c r="N39" s="921" t="str">
        <x:v>Prioritize 90+ balances, confirm the missing due date, and investigate the negative credit balance before the next collections review.</x:v>
      </x:c>
      <x:c r="O39" s="922" t="str">
        <x:v>Prioritize 90+ balances, confirm the missing due date, and investigate the negative credit balance before the next collections review.</x:v>
      </x:c>
    </x:row>
  </x:sheetData>
  <x:mergeCells>
    <x:mergeCell ref="A1:O2"/>
    <x:mergeCell ref="A3:O3"/>
    <x:mergeCell ref="B4:C4"/>
    <x:mergeCell ref="E4:F4"/>
    <x:mergeCell ref="M4:N4"/>
    <x:mergeCell ref="A6:C6"/>
    <x:mergeCell ref="A7:C9"/>
    <x:mergeCell ref="E6:G6"/>
    <x:mergeCell ref="E7:G9"/>
    <x:mergeCell ref="I6:K6"/>
    <x:mergeCell ref="I7:K9"/>
    <x:mergeCell ref="M6:O6"/>
    <x:mergeCell ref="M7:O9"/>
    <x:mergeCell ref="A11:C11"/>
    <x:mergeCell ref="A12:C14"/>
    <x:mergeCell ref="E11:G11"/>
    <x:mergeCell ref="E12:G14"/>
    <x:mergeCell ref="I11:K11"/>
    <x:mergeCell ref="I12:K14"/>
    <x:mergeCell ref="M11:O11"/>
    <x:mergeCell ref="M12:O12"/>
    <x:mergeCell ref="M13:O14"/>
    <x:mergeCell ref="A34:O34"/>
    <x:mergeCell ref="A35:C35"/>
    <x:mergeCell ref="A36:C39"/>
    <x:mergeCell ref="E35:H35"/>
    <x:mergeCell ref="E36:H39"/>
    <x:mergeCell ref="J35:O35"/>
    <x:mergeCell ref="J36:O39"/>
  </x:mergeCells>
  <x:pageMargins left="0.7" right="0.7" top="0.75" bottom="0.75" header="0.3" footer="0.3"/>
  <x:drawing xmlns:r="http://schemas.openxmlformats.org/officeDocument/2006/relationships" r:id="Rd5fe298b7e174d6f"/>
  <x:legacyDrawing xmlns:r="http://schemas.openxmlformats.org/officeDocument/2006/relationships" r:id="R47b3d950c5434122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5" hidden="0" customWidth="1"/>
    <x:col min="3" max="3" width="14" hidden="0" customWidth="1"/>
    <x:col min="4" max="4" width="14" hidden="0" customWidth="1"/>
    <x:col min="5" max="5" width="16" hidden="0" customWidth="1"/>
    <x:col min="6" max="6" width="12" hidden="0" customWidth="1"/>
    <x:col min="7" max="7" width="17" hidden="0" customWidth="1"/>
    <x:col min="8" max="8" width="14" hidden="0" customWidth="1"/>
    <x:col min="9" max="9" width="14" hidden="0" customWidth="1"/>
    <x:col min="10" max="10" width="14" hidden="0" customWidth="1"/>
    <x:col min="11" max="11" width="12" hidden="0" customWidth="1"/>
    <x:col min="12" max="12" width="13" hidden="0" customWidth="1"/>
    <x:col min="13" max="13" width="38" hidden="0" customWidth="1"/>
  </x:cols>
  <x:sheetData>
    <x:row r="1">
      <x:c r="A1" s="70" t="str">
        <x:v>Invoice-Level Aging Detail</x:v>
      </x:c>
      <x:c r="B1" s="70" t="str">
        <x:v>Invoice-Level Aging Detail</x:v>
      </x:c>
      <x:c r="C1" s="70" t="str">
        <x:v>Invoice-Level Aging Detail</x:v>
      </x:c>
      <x:c r="D1" s="70" t="str">
        <x:v>Invoice-Level Aging Detail</x:v>
      </x:c>
      <x:c r="E1" s="70" t="str">
        <x:v>Invoice-Level Aging Detail</x:v>
      </x:c>
      <x:c r="F1" s="70" t="str">
        <x:v>Invoice-Level Aging Detail</x:v>
      </x:c>
      <x:c r="G1" s="70" t="str">
        <x:v>Invoice-Level Aging Detail</x:v>
      </x:c>
      <x:c r="H1" s="70" t="str">
        <x:v>Invoice-Level Aging Detail</x:v>
      </x:c>
      <x:c r="I1" s="70" t="str">
        <x:v>Invoice-Level Aging Detail</x:v>
      </x:c>
      <x:c r="J1" s="70" t="str">
        <x:v>Invoice-Level Aging Detail</x:v>
      </x:c>
      <x:c r="K1" s="70" t="str">
        <x:v>Invoice-Level Aging Detail</x:v>
      </x:c>
      <x:c r="L1" s="70" t="str">
        <x:v>Invoice-Level Aging Detail</x:v>
      </x:c>
      <x:c r="M1" s="70" t="str">
        <x:v>Invoice-Level Aging Detail</x:v>
      </x:c>
    </x:row>
    <x:row r="2">
      <x:c r="A2" s="70" t="str">
        <x:v>Invoice-Level Aging Detail</x:v>
      </x:c>
      <x:c r="B2" s="70" t="str">
        <x:v>Invoice-Level Aging Detail</x:v>
      </x:c>
      <x:c r="C2" s="70" t="str">
        <x:v>Invoice-Level Aging Detail</x:v>
      </x:c>
      <x:c r="D2" s="70" t="str">
        <x:v>Invoice-Level Aging Detail</x:v>
      </x:c>
      <x:c r="E2" s="70" t="str">
        <x:v>Invoice-Level Aging Detail</x:v>
      </x:c>
      <x:c r="F2" s="70" t="str">
        <x:v>Invoice-Level Aging Detail</x:v>
      </x:c>
      <x:c r="G2" s="70" t="str">
        <x:v>Invoice-Level Aging Detail</x:v>
      </x:c>
      <x:c r="H2" s="70" t="str">
        <x:v>Invoice-Level Aging Detail</x:v>
      </x:c>
      <x:c r="I2" s="70" t="str">
        <x:v>Invoice-Level Aging Detail</x:v>
      </x:c>
      <x:c r="J2" s="70" t="str">
        <x:v>Invoice-Level Aging Detail</x:v>
      </x:c>
      <x:c r="K2" s="70" t="str">
        <x:v>Invoice-Level Aging Detail</x:v>
      </x:c>
      <x:c r="L2" s="70" t="str">
        <x:v>Invoice-Level Aging Detail</x:v>
      </x:c>
      <x:c r="M2" s="70" t="str">
        <x:v>Invoice-Level Aging Detail</x:v>
      </x:c>
    </x:row>
    <x:row r="3">
      <x:c r="A3" s="76" t="str">
        <x:v>Inputs link to Source Data; aging, risk, and exceptions calculate automatically as of the Dashboard date</x:v>
      </x:c>
      <x:c r="B3" s="76" t="str">
        <x:v>Inputs link to Source Data; aging, risk, and exceptions calculate automatically as of the Dashboard date</x:v>
      </x:c>
      <x:c r="C3" s="76" t="str">
        <x:v>Inputs link to Source Data; aging, risk, and exceptions calculate automatically as of the Dashboard date</x:v>
      </x:c>
      <x:c r="D3" s="76" t="str">
        <x:v>Inputs link to Source Data; aging, risk, and exceptions calculate automatically as of the Dashboard date</x:v>
      </x:c>
      <x:c r="E3" s="76" t="str">
        <x:v>Inputs link to Source Data; aging, risk, and exceptions calculate automatically as of the Dashboard date</x:v>
      </x:c>
      <x:c r="F3" s="76" t="str">
        <x:v>Inputs link to Source Data; aging, risk, and exceptions calculate automatically as of the Dashboard date</x:v>
      </x:c>
      <x:c r="G3" s="76" t="str">
        <x:v>Inputs link to Source Data; aging, risk, and exceptions calculate automatically as of the Dashboard date</x:v>
      </x:c>
      <x:c r="H3" s="76" t="str">
        <x:v>Inputs link to Source Data; aging, risk, and exceptions calculate automatically as of the Dashboard date</x:v>
      </x:c>
      <x:c r="I3" s="76" t="str">
        <x:v>Inputs link to Source Data; aging, risk, and exceptions calculate automatically as of the Dashboard date</x:v>
      </x:c>
      <x:c r="J3" s="76" t="str">
        <x:v>Inputs link to Source Data; aging, risk, and exceptions calculate automatically as of the Dashboard date</x:v>
      </x:c>
      <x:c r="K3" s="76" t="str">
        <x:v>Inputs link to Source Data; aging, risk, and exceptions calculate automatically as of the Dashboard date</x:v>
      </x:c>
      <x:c r="L3" s="76" t="str">
        <x:v>Inputs link to Source Data; aging, risk, and exceptions calculate automatically as of the Dashboard date</x:v>
      </x:c>
      <x:c r="M3" s="76" t="str">
        <x:v>Inputs link to Source Data; aging, risk, and exceptions calculate automatically as of the Dashboard date</x:v>
      </x:c>
    </x:row>
    <x:row r="4">
      <x:c r="A4" s="946" t="str">
        <x:v>Formula logic: Current ≤ 0 days; then 1–30, 31–60, 61–90, and 90+. Negative balances and missing due dates are flagged for investigation.</x:v>
      </x:c>
      <x:c r="B4" s="946" t="str">
        <x:v>Formula logic: Current ≤ 0 days; then 1–30, 31–60, 61–90, and 90+. Negative balances and missing due dates are flagged for investigation.</x:v>
      </x:c>
      <x:c r="C4" s="946" t="str">
        <x:v>Formula logic: Current ≤ 0 days; then 1–30, 31–60, 61–90, and 90+. Negative balances and missing due dates are flagged for investigation.</x:v>
      </x:c>
      <x:c r="D4" s="946" t="str">
        <x:v>Formula logic: Current ≤ 0 days; then 1–30, 31–60, 61–90, and 90+. Negative balances and missing due dates are flagged for investigation.</x:v>
      </x:c>
      <x:c r="E4" s="946" t="str">
        <x:v>Formula logic: Current ≤ 0 days; then 1–30, 31–60, 61–90, and 90+. Negative balances and missing due dates are flagged for investigation.</x:v>
      </x:c>
      <x:c r="F4" s="946" t="str">
        <x:v>Formula logic: Current ≤ 0 days; then 1–30, 31–60, 61–90, and 90+. Negative balances and missing due dates are flagged for investigation.</x:v>
      </x:c>
      <x:c r="G4" s="946" t="str">
        <x:v>Formula logic: Current ≤ 0 days; then 1–30, 31–60, 61–90, and 90+. Negative balances and missing due dates are flagged for investigation.</x:v>
      </x:c>
      <x:c r="H4" s="946" t="str">
        <x:v>Formula logic: Current ≤ 0 days; then 1–30, 31–60, 61–90, and 90+. Negative balances and missing due dates are flagged for investigation.</x:v>
      </x:c>
      <x:c r="I4" s="946" t="str">
        <x:v>Formula logic: Current ≤ 0 days; then 1–30, 31–60, 61–90, and 90+. Negative balances and missing due dates are flagged for investigation.</x:v>
      </x:c>
      <x:c r="J4" s="946" t="str">
        <x:v>Formula logic: Current ≤ 0 days; then 1–30, 31–60, 61–90, and 90+. Negative balances and missing due dates are flagged for investigation.</x:v>
      </x:c>
      <x:c r="K4" s="946" t="str">
        <x:v>Formula logic: Current ≤ 0 days; then 1–30, 31–60, 61–90, and 90+. Negative balances and missing due dates are flagged for investigation.</x:v>
      </x:c>
      <x:c r="L4" s="946" t="str">
        <x:v>Formula logic: Current ≤ 0 days; then 1–30, 31–60, 61–90, and 90+. Negative balances and missing due dates are flagged for investigation.</x:v>
      </x:c>
      <x:c r="M4" s="946" t="str">
        <x:v>Formula logic: Current ≤ 0 days; then 1–30, 31–60, 61–90, and 90+. Negative balances and missing due dates are flagged for investigation.</x:v>
      </x:c>
    </x:row>
    <x:row r="6">
      <x:c r="A6" s="10" t="str">
        <x:v>Customer</x:v>
      </x:c>
      <x:c r="B6" s="10" t="str">
        <x:v>Invoice #</x:v>
      </x:c>
      <x:c r="C6" s="10" t="str">
        <x:v>Invoice Date</x:v>
      </x:c>
      <x:c r="D6" s="10" t="str">
        <x:v>Due Date</x:v>
      </x:c>
      <x:c r="E6" s="10" t="str">
        <x:v>Open Balance</x:v>
      </x:c>
      <x:c r="F6" s="10" t="str">
        <x:v>Status</x:v>
      </x:c>
      <x:c r="G6" s="10" t="str">
        <x:v>Payment Method</x:v>
      </x:c>
      <x:c r="H6" s="10" t="str">
        <x:v>As-of Date</x:v>
      </x:c>
      <x:c r="I6" s="10" t="str">
        <x:v>Days Past Due</x:v>
      </x:c>
      <x:c r="J6" s="10" t="str">
        <x:v>Aging Bucket</x:v>
      </x:c>
      <x:c r="K6" s="10" t="str">
        <x:v>Overdue?</x:v>
      </x:c>
      <x:c r="L6" s="10" t="str">
        <x:v>Risk Flag</x:v>
      </x:c>
      <x:c r="M6" s="10" t="str">
        <x:v>Exception Note</x:v>
      </x:c>
    </x:row>
    <x:row r="7">
      <x:c r="A7" s="958" t="str">
        <x:f>IF('Source Data'!A2="","",'Source Data'!A2)</x:f>
        <x:v>Acadia Health Partners</x:v>
      </x:c>
      <x:c r="B7" s="958" t="str">
        <x:f>IF('Source Data'!B2="","",'Source Data'!B2)</x:f>
        <x:v>INV-1001</x:v>
      </x:c>
      <x:c r="C7" s="982" t="n">
        <x:f>IF('Source Data'!C2="","",'Source Data'!C2)</x:f>
        <x:v>46096</x:v>
      </x:c>
      <x:c r="D7" s="982" t="n">
        <x:f>IF('Source Data'!D2="","",'Source Data'!D2)</x:f>
        <x:v>46126</x:v>
      </x:c>
      <x:c r="E7" s="988" t="n">
        <x:f>IF('Source Data'!E2="","",'Source Data'!E2)</x:f>
        <x:v>18250</x:v>
      </x:c>
      <x:c r="F7" s="994" t="str">
        <x:f>IF('Source Data'!F2="","",'Source Data'!F2)</x:f>
        <x:v>Open</x:v>
      </x:c>
      <x:c r="G7" s="994" t="str">
        <x:f>IF('Source Data'!G2="","",'Source Data'!G2)</x:f>
        <x:v>ACH</x:v>
      </x:c>
      <x:c r="H7" s="982" t="n">
        <x:f>IF(A7="","",'Dashboard'!$B$4)</x:f>
        <x:v>46203</x:v>
      </x:c>
      <x:c r="I7" s="995" t="n">
        <x:f>IF(OR(A7="",F7="Closed",E7=0),"",IF(D7="","",H7-D7))</x:f>
        <x:v>77</x:v>
      </x:c>
      <x:c r="J7" s="994" t="str">
        <x:f>IF(A7="","",IF(OR(F7="Closed",E7=0),"Closed",IF(D7="","Unknown",IF(I7&lt;=0,"Current",IF(I7&lt;=30,"1-30",IF(I7&lt;=60,"31-60",IF(I7&lt;=90,"61-90","90+")))))))</x:f>
        <x:v>61-90</x:v>
      </x:c>
      <x:c r="K7" s="994" t="str">
        <x:f>IF(A7="","",IF(AND(E7&gt;0,I7&gt;0,F7&lt;&gt;"Closed"),"Yes","No"))</x:f>
        <x:v>Yes</x:v>
      </x:c>
      <x:c r="L7" s="994" t="str">
        <x:f>IF(A7="","",IF(E7&lt;0,"Review",IF(J7="Unknown","Review",IF(I7&gt;120,"Critical",IF(I7&gt;90,"High",IF(I7&gt;60,"Medium",IF(I7&gt;30,"Moderate",IF(I7&gt;0,"Low","Current"))))))))</x:f>
        <x:v>Medium</x:v>
      </x:c>
      <x:c r="M7" s="958" t="str">
        <x:f>IF(A7="","",IF(E7&lt;0,"Negative balance - review credit memo",IF(AND(D7="",F7&lt;&gt;"Closed"),"Missing due date - investigate","")))</x:f>
      </x:c>
    </x:row>
    <x:row r="8">
      <x:c r="A8" s="962" t="str">
        <x:f>IF('Source Data'!A3="","",'Source Data'!A3)</x:f>
        <x:v>Acadia Health Partners</x:v>
      </x:c>
      <x:c r="B8" s="962" t="str">
        <x:f>IF('Source Data'!B3="","",'Source Data'!B3)</x:f>
        <x:v>INV-1002</x:v>
      </x:c>
      <x:c r="C8" s="983" t="n">
        <x:f>IF('Source Data'!C3="","",'Source Data'!C3)</x:f>
        <x:v>46061</x:v>
      </x:c>
      <x:c r="D8" s="983" t="n">
        <x:f>IF('Source Data'!D3="","",'Source Data'!D3)</x:f>
        <x:v>46091</x:v>
      </x:c>
      <x:c r="E8" s="989" t="n">
        <x:f>IF('Source Data'!E3="","",'Source Data'!E3)</x:f>
        <x:v>22400</x:v>
      </x:c>
      <x:c r="F8" s="996" t="str">
        <x:f>IF('Source Data'!F3="","",'Source Data'!F3)</x:f>
        <x:v>Open</x:v>
      </x:c>
      <x:c r="G8" s="996" t="str">
        <x:f>IF('Source Data'!G3="","",'Source Data'!G3)</x:f>
        <x:v>Check</x:v>
      </x:c>
      <x:c r="H8" s="983" t="n">
        <x:f>IF(A8="","",'Dashboard'!$B$4)</x:f>
        <x:v>46203</x:v>
      </x:c>
      <x:c r="I8" s="997" t="n">
        <x:f>IF(OR(A8="",F8="Closed",E8=0),"",IF(D8="","",H8-D8))</x:f>
        <x:v>112</x:v>
      </x:c>
      <x:c r="J8" s="996" t="str">
        <x:f>IF(A8="","",IF(OR(F8="Closed",E8=0),"Closed",IF(D8="","Unknown",IF(I8&lt;=0,"Current",IF(I8&lt;=30,"1-30",IF(I8&lt;=60,"31-60",IF(I8&lt;=90,"61-90","90+")))))))</x:f>
        <x:v>90+</x:v>
      </x:c>
      <x:c r="K8" s="996" t="str">
        <x:f>IF(A8="","",IF(AND(E8&gt;0,I8&gt;0,F8&lt;&gt;"Closed"),"Yes","No"))</x:f>
        <x:v>Yes</x:v>
      </x:c>
      <x:c r="L8" s="996" t="str">
        <x:f>IF(A8="","",IF(E8&lt;0,"Review",IF(J8="Unknown","Review",IF(I8&gt;120,"Critical",IF(I8&gt;90,"High",IF(I8&gt;60,"Medium",IF(I8&gt;30,"Moderate",IF(I8&gt;0,"Low","Current"))))))))</x:f>
        <x:v>High</x:v>
      </x:c>
      <x:c r="M8" s="962" t="str">
        <x:f>IF(A8="","",IF(E8&lt;0,"Negative balance - review credit memo",IF(AND(D8="",F8&lt;&gt;"Closed"),"Missing due date - investigate","")))</x:f>
      </x:c>
    </x:row>
    <x:row r="9">
      <x:c r="A9" s="962" t="str">
        <x:f>IF('Source Data'!A4="","",'Source Data'!A4)</x:f>
        <x:v>Bayou Industrial Supply</x:v>
      </x:c>
      <x:c r="B9" s="962" t="str">
        <x:f>IF('Source Data'!B4="","",'Source Data'!B4)</x:f>
        <x:v>INV-1003</x:v>
      </x:c>
      <x:c r="C9" s="983" t="n">
        <x:f>IF('Source Data'!C4="","",'Source Data'!C4)</x:f>
        <x:v>46027</x:v>
      </x:c>
      <x:c r="D9" s="983" t="n">
        <x:f>IF('Source Data'!D4="","",'Source Data'!D4)</x:f>
        <x:v>46057</x:v>
      </x:c>
      <x:c r="E9" s="989" t="n">
        <x:f>IF('Source Data'!E4="","",'Source Data'!E4)</x:f>
        <x:v>31750</x:v>
      </x:c>
      <x:c r="F9" s="996" t="str">
        <x:f>IF('Source Data'!F4="","",'Source Data'!F4)</x:f>
        <x:v>Open</x:v>
      </x:c>
      <x:c r="G9" s="996" t="str">
        <x:f>IF('Source Data'!G4="","",'Source Data'!G4)</x:f>
        <x:v>Wire</x:v>
      </x:c>
      <x:c r="H9" s="983" t="n">
        <x:f>IF(A9="","",'Dashboard'!$B$4)</x:f>
        <x:v>46203</x:v>
      </x:c>
      <x:c r="I9" s="997" t="n">
        <x:f>IF(OR(A9="",F9="Closed",E9=0),"",IF(D9="","",H9-D9))</x:f>
        <x:v>146</x:v>
      </x:c>
      <x:c r="J9" s="996" t="str">
        <x:f>IF(A9="","",IF(OR(F9="Closed",E9=0),"Closed",IF(D9="","Unknown",IF(I9&lt;=0,"Current",IF(I9&lt;=30,"1-30",IF(I9&lt;=60,"31-60",IF(I9&lt;=90,"61-90","90+")))))))</x:f>
        <x:v>90+</x:v>
      </x:c>
      <x:c r="K9" s="996" t="str">
        <x:f>IF(A9="","",IF(AND(E9&gt;0,I9&gt;0,F9&lt;&gt;"Closed"),"Yes","No"))</x:f>
        <x:v>Yes</x:v>
      </x:c>
      <x:c r="L9" s="996" t="str">
        <x:f>IF(A9="","",IF(E9&lt;0,"Review",IF(J9="Unknown","Review",IF(I9&gt;120,"Critical",IF(I9&gt;90,"High",IF(I9&gt;60,"Medium",IF(I9&gt;30,"Moderate",IF(I9&gt;0,"Low","Current"))))))))</x:f>
        <x:v>Critical</x:v>
      </x:c>
      <x:c r="M9" s="962" t="str">
        <x:f>IF(A9="","",IF(E9&lt;0,"Negative balance - review credit memo",IF(AND(D9="",F9&lt;&gt;"Closed"),"Missing due date - investigate","")))</x:f>
      </x:c>
    </x:row>
    <x:row r="10">
      <x:c r="A10" s="962" t="str">
        <x:f>IF('Source Data'!A5="","",'Source Data'!A5)</x:f>
        <x:v>Crescent Retail Group</x:v>
      </x:c>
      <x:c r="B10" s="962" t="str">
        <x:f>IF('Source Data'!B5="","",'Source Data'!B5)</x:f>
        <x:v>INV-1004</x:v>
      </x:c>
      <x:c r="C10" s="983" t="n">
        <x:f>IF('Source Data'!C5="","",'Source Data'!C5)</x:f>
        <x:v>46162</x:v>
      </x:c>
      <x:c r="D10" s="983" t="n">
        <x:f>IF('Source Data'!D5="","",'Source Data'!D5)</x:f>
        <x:v>46192</x:v>
      </x:c>
      <x:c r="E10" s="989" t="n">
        <x:f>IF('Source Data'!E5="","",'Source Data'!E5)</x:f>
        <x:v>9600</x:v>
      </x:c>
      <x:c r="F10" s="996" t="str">
        <x:f>IF('Source Data'!F5="","",'Source Data'!F5)</x:f>
        <x:v>Open</x:v>
      </x:c>
      <x:c r="G10" s="996" t="str">
        <x:f>IF('Source Data'!G5="","",'Source Data'!G5)</x:f>
        <x:v>Credit Card</x:v>
      </x:c>
      <x:c r="H10" s="983" t="n">
        <x:f>IF(A10="","",'Dashboard'!$B$4)</x:f>
        <x:v>46203</x:v>
      </x:c>
      <x:c r="I10" s="997" t="n">
        <x:f>IF(OR(A10="",F10="Closed",E10=0),"",IF(D10="","",H10-D10))</x:f>
        <x:v>11</x:v>
      </x:c>
      <x:c r="J10" s="996" t="str">
        <x:f>IF(A10="","",IF(OR(F10="Closed",E10=0),"Closed",IF(D10="","Unknown",IF(I10&lt;=0,"Current",IF(I10&lt;=30,"1-30",IF(I10&lt;=60,"31-60",IF(I10&lt;=90,"61-90","90+")))))))</x:f>
        <x:v>1-30</x:v>
      </x:c>
      <x:c r="K10" s="996" t="str">
        <x:f>IF(A10="","",IF(AND(E10&gt;0,I10&gt;0,F10&lt;&gt;"Closed"),"Yes","No"))</x:f>
        <x:v>Yes</x:v>
      </x:c>
      <x:c r="L10" s="996" t="str">
        <x:f>IF(A10="","",IF(E10&lt;0,"Review",IF(J10="Unknown","Review",IF(I10&gt;120,"Critical",IF(I10&gt;90,"High",IF(I10&gt;60,"Medium",IF(I10&gt;30,"Moderate",IF(I10&gt;0,"Low","Current"))))))))</x:f>
        <x:v>Low</x:v>
      </x:c>
      <x:c r="M10" s="962" t="str">
        <x:f>IF(A10="","",IF(E10&lt;0,"Negative balance - review credit memo",IF(AND(D10="",F10&lt;&gt;"Closed"),"Missing due date - investigate","")))</x:f>
      </x:c>
    </x:row>
    <x:row r="11">
      <x:c r="A11" s="962" t="str">
        <x:f>IF('Source Data'!A6="","",'Source Data'!A6)</x:f>
        <x:v>Delta Municipal Services</x:v>
      </x:c>
      <x:c r="B11" s="962" t="str">
        <x:f>IF('Source Data'!B6="","",'Source Data'!B6)</x:f>
        <x:v>INV-1005</x:v>
      </x:c>
      <x:c r="C11" s="983" t="n">
        <x:f>IF('Source Data'!C6="","",'Source Data'!C6)</x:f>
        <x:v>46011</x:v>
      </x:c>
      <x:c r="D11" s="983" t="n">
        <x:f>IF('Source Data'!D6="","",'Source Data'!D6)</x:f>
        <x:v>46041</x:v>
      </x:c>
      <x:c r="E11" s="989" t="n">
        <x:f>IF('Source Data'!E6="","",'Source Data'!E6)</x:f>
        <x:v>48120</x:v>
      </x:c>
      <x:c r="F11" s="996" t="str">
        <x:f>IF('Source Data'!F6="","",'Source Data'!F6)</x:f>
        <x:v>Open</x:v>
      </x:c>
      <x:c r="G11" s="996" t="str">
        <x:f>IF('Source Data'!G6="","",'Source Data'!G6)</x:f>
        <x:v>ACH</x:v>
      </x:c>
      <x:c r="H11" s="983" t="n">
        <x:f>IF(A11="","",'Dashboard'!$B$4)</x:f>
        <x:v>46203</x:v>
      </x:c>
      <x:c r="I11" s="997" t="n">
        <x:f>IF(OR(A11="",F11="Closed",E11=0),"",IF(D11="","",H11-D11))</x:f>
        <x:v>162</x:v>
      </x:c>
      <x:c r="J11" s="996" t="str">
        <x:f>IF(A11="","",IF(OR(F11="Closed",E11=0),"Closed",IF(D11="","Unknown",IF(I11&lt;=0,"Current",IF(I11&lt;=30,"1-30",IF(I11&lt;=60,"31-60",IF(I11&lt;=90,"61-90","90+")))))))</x:f>
        <x:v>90+</x:v>
      </x:c>
      <x:c r="K11" s="996" t="str">
        <x:f>IF(A11="","",IF(AND(E11&gt;0,I11&gt;0,F11&lt;&gt;"Closed"),"Yes","No"))</x:f>
        <x:v>Yes</x:v>
      </x:c>
      <x:c r="L11" s="996" t="str">
        <x:f>IF(A11="","",IF(E11&lt;0,"Review",IF(J11="Unknown","Review",IF(I11&gt;120,"Critical",IF(I11&gt;90,"High",IF(I11&gt;60,"Medium",IF(I11&gt;30,"Moderate",IF(I11&gt;0,"Low","Current"))))))))</x:f>
        <x:v>Critical</x:v>
      </x:c>
      <x:c r="M11" s="962" t="str">
        <x:f>IF(A11="","",IF(E11&lt;0,"Negative balance - review credit memo",IF(AND(D11="",F11&lt;&gt;"Closed"),"Missing due date - investigate","")))</x:f>
      </x:c>
    </x:row>
    <x:row r="12">
      <x:c r="A12" s="962" t="str">
        <x:f>IF('Source Data'!A7="","",'Source Data'!A7)</x:f>
        <x:v>Evergreen Medical Labs</x:v>
      </x:c>
      <x:c r="B12" s="962" t="str">
        <x:f>IF('Source Data'!B7="","",'Source Data'!B7)</x:f>
        <x:v>INV-1006</x:v>
      </x:c>
      <x:c r="C12" s="983" t="n">
        <x:f>IF('Source Data'!C7="","",'Source Data'!C7)</x:f>
        <x:v>46123</x:v>
      </x:c>
      <x:c r="D12" s="983" t="n">
        <x:f>IF('Source Data'!D7="","",'Source Data'!D7)</x:f>
        <x:v>46153</x:v>
      </x:c>
      <x:c r="E12" s="989" t="n">
        <x:f>IF('Source Data'!E7="","",'Source Data'!E7)</x:f>
        <x:v>14220</x:v>
      </x:c>
      <x:c r="F12" s="996" t="str">
        <x:f>IF('Source Data'!F7="","",'Source Data'!F7)</x:f>
        <x:v>Open</x:v>
      </x:c>
      <x:c r="G12" s="996" t="str">
        <x:f>IF('Source Data'!G7="","",'Source Data'!G7)</x:f>
        <x:v>Check</x:v>
      </x:c>
      <x:c r="H12" s="983" t="n">
        <x:f>IF(A12="","",'Dashboard'!$B$4)</x:f>
        <x:v>46203</x:v>
      </x:c>
      <x:c r="I12" s="997" t="n">
        <x:f>IF(OR(A12="",F12="Closed",E12=0),"",IF(D12="","",H12-D12))</x:f>
        <x:v>50</x:v>
      </x:c>
      <x:c r="J12" s="996" t="str">
        <x:f>IF(A12="","",IF(OR(F12="Closed",E12=0),"Closed",IF(D12="","Unknown",IF(I12&lt;=0,"Current",IF(I12&lt;=30,"1-30",IF(I12&lt;=60,"31-60",IF(I12&lt;=90,"61-90","90+")))))))</x:f>
        <x:v>31-60</x:v>
      </x:c>
      <x:c r="K12" s="996" t="str">
        <x:f>IF(A12="","",IF(AND(E12&gt;0,I12&gt;0,F12&lt;&gt;"Closed"),"Yes","No"))</x:f>
        <x:v>Yes</x:v>
      </x:c>
      <x:c r="L12" s="996" t="str">
        <x:f>IF(A12="","",IF(E12&lt;0,"Review",IF(J12="Unknown","Review",IF(I12&gt;120,"Critical",IF(I12&gt;90,"High",IF(I12&gt;60,"Medium",IF(I12&gt;30,"Moderate",IF(I12&gt;0,"Low","Current"))))))))</x:f>
        <x:v>Moderate</x:v>
      </x:c>
      <x:c r="M12" s="962" t="str">
        <x:f>IF(A12="","",IF(E12&lt;0,"Negative balance - review credit memo",IF(AND(D12="",F12&lt;&gt;"Closed"),"Missing due date - investigate","")))</x:f>
      </x:c>
    </x:row>
    <x:row r="13">
      <x:c r="A13" s="962" t="str">
        <x:f>IF('Source Data'!A8="","",'Source Data'!A8)</x:f>
        <x:v>Frontier Logistics</x:v>
      </x:c>
      <x:c r="B13" s="962" t="str">
        <x:f>IF('Source Data'!B8="","",'Source Data'!B8)</x:f>
        <x:v>INV-1007</x:v>
      </x:c>
      <x:c r="C13" s="983" t="n">
        <x:f>IF('Source Data'!C8="","",'Source Data'!C8)</x:f>
        <x:v>46112</x:v>
      </x:c>
      <x:c r="D13" s="983" t="n">
        <x:f>IF('Source Data'!D8="","",'Source Data'!D8)</x:f>
        <x:v>46142</x:v>
      </x:c>
      <x:c r="E13" s="989" t="n">
        <x:f>IF('Source Data'!E8="","",'Source Data'!E8)</x:f>
        <x:v>12500</x:v>
      </x:c>
      <x:c r="F13" s="996" t="str">
        <x:f>IF('Source Data'!F8="","",'Source Data'!F8)</x:f>
        <x:v>Open</x:v>
      </x:c>
      <x:c r="G13" s="996" t="str">
        <x:f>IF('Source Data'!G8="","",'Source Data'!G8)</x:f>
        <x:v>Wire</x:v>
      </x:c>
      <x:c r="H13" s="983" t="n">
        <x:f>IF(A13="","",'Dashboard'!$B$4)</x:f>
        <x:v>46203</x:v>
      </x:c>
      <x:c r="I13" s="997" t="n">
        <x:f>IF(OR(A13="",F13="Closed",E13=0),"",IF(D13="","",H13-D13))</x:f>
        <x:v>61</x:v>
      </x:c>
      <x:c r="J13" s="996" t="str">
        <x:f>IF(A13="","",IF(OR(F13="Closed",E13=0),"Closed",IF(D13="","Unknown",IF(I13&lt;=0,"Current",IF(I13&lt;=30,"1-30",IF(I13&lt;=60,"31-60",IF(I13&lt;=90,"61-90","90+")))))))</x:f>
        <x:v>61-90</x:v>
      </x:c>
      <x:c r="K13" s="996" t="str">
        <x:f>IF(A13="","",IF(AND(E13&gt;0,I13&gt;0,F13&lt;&gt;"Closed"),"Yes","No"))</x:f>
        <x:v>Yes</x:v>
      </x:c>
      <x:c r="L13" s="996" t="str">
        <x:f>IF(A13="","",IF(E13&lt;0,"Review",IF(J13="Unknown","Review",IF(I13&gt;120,"Critical",IF(I13&gt;90,"High",IF(I13&gt;60,"Medium",IF(I13&gt;30,"Moderate",IF(I13&gt;0,"Low","Current"))))))))</x:f>
        <x:v>Medium</x:v>
      </x:c>
      <x:c r="M13" s="962" t="str">
        <x:f>IF(A13="","",IF(E13&lt;0,"Negative balance - review credit memo",IF(AND(D13="",F13&lt;&gt;"Closed"),"Missing due date - investigate","")))</x:f>
      </x:c>
    </x:row>
    <x:row r="14">
      <x:c r="A14" s="962" t="str">
        <x:f>IF('Source Data'!A9="","",'Source Data'!A9)</x:f>
        <x:v>Gulf Coast Manufacturing</x:v>
      </x:c>
      <x:c r="B14" s="962" t="str">
        <x:f>IF('Source Data'!B9="","",'Source Data'!B9)</x:f>
        <x:v>INV-1008</x:v>
      </x:c>
      <x:c r="C14" s="983" t="n">
        <x:f>IF('Source Data'!C9="","",'Source Data'!C9)</x:f>
        <x:v>45979</x:v>
      </x:c>
      <x:c r="D14" s="983" t="n">
        <x:f>IF('Source Data'!D9="","",'Source Data'!D9)</x:f>
        <x:v>46009</x:v>
      </x:c>
      <x:c r="E14" s="989" t="n">
        <x:f>IF('Source Data'!E9="","",'Source Data'!E9)</x:f>
        <x:v>59200</x:v>
      </x:c>
      <x:c r="F14" s="996" t="str">
        <x:f>IF('Source Data'!F9="","",'Source Data'!F9)</x:f>
        <x:v>Open</x:v>
      </x:c>
      <x:c r="G14" s="996" t="str">
        <x:f>IF('Source Data'!G9="","",'Source Data'!G9)</x:f>
        <x:v>ACH</x:v>
      </x:c>
      <x:c r="H14" s="983" t="n">
        <x:f>IF(A14="","",'Dashboard'!$B$4)</x:f>
        <x:v>46203</x:v>
      </x:c>
      <x:c r="I14" s="997" t="n">
        <x:f>IF(OR(A14="",F14="Closed",E14=0),"",IF(D14="","",H14-D14))</x:f>
        <x:v>194</x:v>
      </x:c>
      <x:c r="J14" s="996" t="str">
        <x:f>IF(A14="","",IF(OR(F14="Closed",E14=0),"Closed",IF(D14="","Unknown",IF(I14&lt;=0,"Current",IF(I14&lt;=30,"1-30",IF(I14&lt;=60,"31-60",IF(I14&lt;=90,"61-90","90+")))))))</x:f>
        <x:v>90+</x:v>
      </x:c>
      <x:c r="K14" s="996" t="str">
        <x:f>IF(A14="","",IF(AND(E14&gt;0,I14&gt;0,F14&lt;&gt;"Closed"),"Yes","No"))</x:f>
        <x:v>Yes</x:v>
      </x:c>
      <x:c r="L14" s="996" t="str">
        <x:f>IF(A14="","",IF(E14&lt;0,"Review",IF(J14="Unknown","Review",IF(I14&gt;120,"Critical",IF(I14&gt;90,"High",IF(I14&gt;60,"Medium",IF(I14&gt;30,"Moderate",IF(I14&gt;0,"Low","Current"))))))))</x:f>
        <x:v>Critical</x:v>
      </x:c>
      <x:c r="M14" s="962" t="str">
        <x:f>IF(A14="","",IF(E14&lt;0,"Negative balance - review credit memo",IF(AND(D14="",F14&lt;&gt;"Closed"),"Missing due date - investigate","")))</x:f>
      </x:c>
    </x:row>
    <x:row r="15">
      <x:c r="A15" s="962" t="str">
        <x:f>IF('Source Data'!A10="","",'Source Data'!A10)</x:f>
        <x:v>Harbor Energy Co.</x:v>
      </x:c>
      <x:c r="B15" s="962" t="str">
        <x:f>IF('Source Data'!B10="","",'Source Data'!B10)</x:f>
        <x:v>INV-1009</x:v>
      </x:c>
      <x:c r="C15" s="983" t="n">
        <x:f>IF('Source Data'!C10="","",'Source Data'!C10)</x:f>
        <x:v>46150</x:v>
      </x:c>
      <x:c r="D15" s="983" t="n">
        <x:f>IF('Source Data'!D10="","",'Source Data'!D10)</x:f>
        <x:v>46180</x:v>
      </x:c>
      <x:c r="E15" s="989" t="n">
        <x:f>IF('Source Data'!E10="","",'Source Data'!E10)</x:f>
        <x:v>8800</x:v>
      </x:c>
      <x:c r="F15" s="996" t="str">
        <x:f>IF('Source Data'!F10="","",'Source Data'!F10)</x:f>
        <x:v>Open</x:v>
      </x:c>
      <x:c r="G15" s="996" t="str">
        <x:f>IF('Source Data'!G10="","",'Source Data'!G10)</x:f>
        <x:v>Credit Card</x:v>
      </x:c>
      <x:c r="H15" s="983" t="n">
        <x:f>IF(A15="","",'Dashboard'!$B$4)</x:f>
        <x:v>46203</x:v>
      </x:c>
      <x:c r="I15" s="997" t="n">
        <x:f>IF(OR(A15="",F15="Closed",E15=0),"",IF(D15="","",H15-D15))</x:f>
        <x:v>23</x:v>
      </x:c>
      <x:c r="J15" s="996" t="str">
        <x:f>IF(A15="","",IF(OR(F15="Closed",E15=0),"Closed",IF(D15="","Unknown",IF(I15&lt;=0,"Current",IF(I15&lt;=30,"1-30",IF(I15&lt;=60,"31-60",IF(I15&lt;=90,"61-90","90+")))))))</x:f>
        <x:v>1-30</x:v>
      </x:c>
      <x:c r="K15" s="996" t="str">
        <x:f>IF(A15="","",IF(AND(E15&gt;0,I15&gt;0,F15&lt;&gt;"Closed"),"Yes","No"))</x:f>
        <x:v>Yes</x:v>
      </x:c>
      <x:c r="L15" s="996" t="str">
        <x:f>IF(A15="","",IF(E15&lt;0,"Review",IF(J15="Unknown","Review",IF(I15&gt;120,"Critical",IF(I15&gt;90,"High",IF(I15&gt;60,"Medium",IF(I15&gt;30,"Moderate",IF(I15&gt;0,"Low","Current"))))))))</x:f>
        <x:v>Low</x:v>
      </x:c>
      <x:c r="M15" s="962" t="str">
        <x:f>IF(A15="","",IF(E15&lt;0,"Negative balance - review credit memo",IF(AND(D15="",F15&lt;&gt;"Closed"),"Missing due date - investigate","")))</x:f>
      </x:c>
    </x:row>
    <x:row r="16">
      <x:c r="A16" s="962" t="str">
        <x:f>IF('Source Data'!A11="","",'Source Data'!A11)</x:f>
        <x:v>Ivory Tech Consulting</x:v>
      </x:c>
      <x:c r="B16" s="962" t="str">
        <x:f>IF('Source Data'!B11="","",'Source Data'!B11)</x:f>
        <x:v>INV-1010</x:v>
      </x:c>
      <x:c r="C16" s="983" t="n">
        <x:f>IF('Source Data'!C11="","",'Source Data'!C11)</x:f>
        <x:v>46054</x:v>
      </x:c>
      <x:c r="D16" s="983" t="n">
        <x:f>IF('Source Data'!D11="","",'Source Data'!D11)</x:f>
        <x:v>46084</x:v>
      </x:c>
      <x:c r="E16" s="989" t="n">
        <x:f>IF('Source Data'!E11="","",'Source Data'!E11)</x:f>
        <x:v>17110</x:v>
      </x:c>
      <x:c r="F16" s="996" t="str">
        <x:f>IF('Source Data'!F11="","",'Source Data'!F11)</x:f>
        <x:v>Open</x:v>
      </x:c>
      <x:c r="G16" s="996" t="str">
        <x:f>IF('Source Data'!G11="","",'Source Data'!G11)</x:f>
        <x:v>Check</x:v>
      </x:c>
      <x:c r="H16" s="983" t="n">
        <x:f>IF(A16="","",'Dashboard'!$B$4)</x:f>
        <x:v>46203</x:v>
      </x:c>
      <x:c r="I16" s="997" t="n">
        <x:f>IF(OR(A16="",F16="Closed",E16=0),"",IF(D16="","",H16-D16))</x:f>
        <x:v>119</x:v>
      </x:c>
      <x:c r="J16" s="996" t="str">
        <x:f>IF(A16="","",IF(OR(F16="Closed",E16=0),"Closed",IF(D16="","Unknown",IF(I16&lt;=0,"Current",IF(I16&lt;=30,"1-30",IF(I16&lt;=60,"31-60",IF(I16&lt;=90,"61-90","90+")))))))</x:f>
        <x:v>90+</x:v>
      </x:c>
      <x:c r="K16" s="996" t="str">
        <x:f>IF(A16="","",IF(AND(E16&gt;0,I16&gt;0,F16&lt;&gt;"Closed"),"Yes","No"))</x:f>
        <x:v>Yes</x:v>
      </x:c>
      <x:c r="L16" s="996" t="str">
        <x:f>IF(A16="","",IF(E16&lt;0,"Review",IF(J16="Unknown","Review",IF(I16&gt;120,"Critical",IF(I16&gt;90,"High",IF(I16&gt;60,"Medium",IF(I16&gt;30,"Moderate",IF(I16&gt;0,"Low","Current"))))))))</x:f>
        <x:v>High</x:v>
      </x:c>
      <x:c r="M16" s="962" t="str">
        <x:f>IF(A16="","",IF(E16&lt;0,"Negative balance - review credit memo",IF(AND(D16="",F16&lt;&gt;"Closed"),"Missing due date - investigate","")))</x:f>
      </x:c>
    </x:row>
    <x:row r="17">
      <x:c r="A17" s="962" t="str">
        <x:f>IF('Source Data'!A12="","",'Source Data'!A12)</x:f>
        <x:v>Jefferson Community Care</x:v>
      </x:c>
      <x:c r="B17" s="962" t="str">
        <x:f>IF('Source Data'!B12="","",'Source Data'!B12)</x:f>
        <x:v>INV-1011</x:v>
      </x:c>
      <x:c r="C17" s="983" t="n">
        <x:f>IF('Source Data'!C12="","",'Source Data'!C12)</x:f>
        <x:v>46021</x:v>
      </x:c>
      <x:c r="D17" s="983" t="n">
        <x:f>IF('Source Data'!D12="","",'Source Data'!D12)</x:f>
        <x:v>46051</x:v>
      </x:c>
      <x:c r="E17" s="989" t="n">
        <x:f>IF('Source Data'!E12="","",'Source Data'!E12)</x:f>
        <x:v>26500</x:v>
      </x:c>
      <x:c r="F17" s="996" t="str">
        <x:f>IF('Source Data'!F12="","",'Source Data'!F12)</x:f>
        <x:v>Open</x:v>
      </x:c>
      <x:c r="G17" s="996" t="str">
        <x:f>IF('Source Data'!G12="","",'Source Data'!G12)</x:f>
        <x:v>ACH</x:v>
      </x:c>
      <x:c r="H17" s="983" t="n">
        <x:f>IF(A17="","",'Dashboard'!$B$4)</x:f>
        <x:v>46203</x:v>
      </x:c>
      <x:c r="I17" s="997" t="n">
        <x:f>IF(OR(A17="",F17="Closed",E17=0),"",IF(D17="","",H17-D17))</x:f>
        <x:v>152</x:v>
      </x:c>
      <x:c r="J17" s="996" t="str">
        <x:f>IF(A17="","",IF(OR(F17="Closed",E17=0),"Closed",IF(D17="","Unknown",IF(I17&lt;=0,"Current",IF(I17&lt;=30,"1-30",IF(I17&lt;=60,"31-60",IF(I17&lt;=90,"61-90","90+")))))))</x:f>
        <x:v>90+</x:v>
      </x:c>
      <x:c r="K17" s="996" t="str">
        <x:f>IF(A17="","",IF(AND(E17&gt;0,I17&gt;0,F17&lt;&gt;"Closed"),"Yes","No"))</x:f>
        <x:v>Yes</x:v>
      </x:c>
      <x:c r="L17" s="996" t="str">
        <x:f>IF(A17="","",IF(E17&lt;0,"Review",IF(J17="Unknown","Review",IF(I17&gt;120,"Critical",IF(I17&gt;90,"High",IF(I17&gt;60,"Medium",IF(I17&gt;30,"Moderate",IF(I17&gt;0,"Low","Current"))))))))</x:f>
        <x:v>Critical</x:v>
      </x:c>
      <x:c r="M17" s="962" t="str">
        <x:f>IF(A17="","",IF(E17&lt;0,"Negative balance - review credit memo",IF(AND(D17="",F17&lt;&gt;"Closed"),"Missing due date - investigate","")))</x:f>
      </x:c>
    </x:row>
    <x:row r="18">
      <x:c r="A18" s="962" t="str">
        <x:f>IF('Source Data'!A13="","",'Source Data'!A13)</x:f>
        <x:v>Keystone Distribution</x:v>
      </x:c>
      <x:c r="B18" s="962" t="str">
        <x:f>IF('Source Data'!B13="","",'Source Data'!B13)</x:f>
        <x:v>INV-1012</x:v>
      </x:c>
      <x:c r="C18" s="983" t="n">
        <x:f>IF('Source Data'!C13="","",'Source Data'!C13)</x:f>
        <x:v>46101</x:v>
      </x:c>
      <x:c r="D18" s="983" t="n">
        <x:f>IF('Source Data'!D13="","",'Source Data'!D13)</x:f>
        <x:v>46131</x:v>
      </x:c>
      <x:c r="E18" s="989" t="n">
        <x:f>IF('Source Data'!E13="","",'Source Data'!E13)</x:f>
        <x:v>-2400</x:v>
      </x:c>
      <x:c r="F18" s="996" t="str">
        <x:f>IF('Source Data'!F13="","",'Source Data'!F13)</x:f>
        <x:v>Open</x:v>
      </x:c>
      <x:c r="G18" s="996" t="str">
        <x:f>IF('Source Data'!G13="","",'Source Data'!G13)</x:f>
        <x:v>Credit Memo</x:v>
      </x:c>
      <x:c r="H18" s="983" t="n">
        <x:f>IF(A18="","",'Dashboard'!$B$4)</x:f>
        <x:v>46203</x:v>
      </x:c>
      <x:c r="I18" s="997" t="n">
        <x:f>IF(OR(A18="",F18="Closed",E18=0),"",IF(D18="","",H18-D18))</x:f>
        <x:v>72</x:v>
      </x:c>
      <x:c r="J18" s="996" t="str">
        <x:f>IF(A18="","",IF(OR(F18="Closed",E18=0),"Closed",IF(D18="","Unknown",IF(I18&lt;=0,"Current",IF(I18&lt;=30,"1-30",IF(I18&lt;=60,"31-60",IF(I18&lt;=90,"61-90","90+")))))))</x:f>
        <x:v>61-90</x:v>
      </x:c>
      <x:c r="K18" s="996" t="str">
        <x:f>IF(A18="","",IF(AND(E18&gt;0,I18&gt;0,F18&lt;&gt;"Closed"),"Yes","No"))</x:f>
        <x:v>No</x:v>
      </x:c>
      <x:c r="L18" s="996" t="str">
        <x:f>IF(A18="","",IF(E18&lt;0,"Review",IF(J18="Unknown","Review",IF(I18&gt;120,"Critical",IF(I18&gt;90,"High",IF(I18&gt;60,"Medium",IF(I18&gt;30,"Moderate",IF(I18&gt;0,"Low","Current"))))))))</x:f>
        <x:v>Review</x:v>
      </x:c>
      <x:c r="M18" s="962" t="str">
        <x:f>IF(A18="","",IF(E18&lt;0,"Negative balance - review credit memo",IF(AND(D18="",F18&lt;&gt;"Closed"),"Missing due date - investigate","")))</x:f>
        <x:v>Negative balance - review credit memo</x:v>
      </x:c>
    </x:row>
    <x:row r="19">
      <x:c r="A19" s="962" t="str">
        <x:f>IF('Source Data'!A14="","",'Source Data'!A14)</x:f>
        <x:v>Lafayette Public Works</x:v>
      </x:c>
      <x:c r="B19" s="962" t="str">
        <x:f>IF('Source Data'!B14="","",'Source Data'!B14)</x:f>
        <x:v>INV-1013</x:v>
      </x:c>
      <x:c r="C19" s="983" t="n">
        <x:f>IF('Source Data'!C14="","",'Source Data'!C14)</x:f>
        <x:v>46140</x:v>
      </x:c>
      <x:c r="D19" s="983" t="str">
        <x:f>IF('Source Data'!D14="","",'Source Data'!D14)</x:f>
      </x:c>
      <x:c r="E19" s="989" t="n">
        <x:f>IF('Source Data'!E14="","",'Source Data'!E14)</x:f>
        <x:v>11200</x:v>
      </x:c>
      <x:c r="F19" s="996" t="str">
        <x:f>IF('Source Data'!F14="","",'Source Data'!F14)</x:f>
        <x:v>Open</x:v>
      </x:c>
      <x:c r="G19" s="996" t="str">
        <x:f>IF('Source Data'!G14="","",'Source Data'!G14)</x:f>
        <x:v>ACH</x:v>
      </x:c>
      <x:c r="H19" s="983" t="n">
        <x:f>IF(A19="","",'Dashboard'!$B$4)</x:f>
        <x:v>46203</x:v>
      </x:c>
      <x:c r="I19" s="997" t="str">
        <x:f>IF(OR(A19="",F19="Closed",E19=0),"",IF(D19="","",H19-D19))</x:f>
      </x:c>
      <x:c r="J19" s="996" t="str">
        <x:f>IF(A19="","",IF(OR(F19="Closed",E19=0),"Closed",IF(D19="","Unknown",IF(I19&lt;=0,"Current",IF(I19&lt;=30,"1-30",IF(I19&lt;=60,"31-60",IF(I19&lt;=90,"61-90","90+")))))))</x:f>
        <x:v>Unknown</x:v>
      </x:c>
      <x:c r="K19" s="996" t="str">
        <x:f>IF(A19="","",IF(AND(E19&gt;0,I19&gt;0,F19&lt;&gt;"Closed"),"Yes","No"))</x:f>
        <x:v>No</x:v>
      </x:c>
      <x:c r="L19" s="996" t="str">
        <x:f>IF(A19="","",IF(E19&lt;0,"Review",IF(J19="Unknown","Review",IF(I19&gt;120,"Critical",IF(I19&gt;90,"High",IF(I19&gt;60,"Medium",IF(I19&gt;30,"Moderate",IF(I19&gt;0,"Low","Current"))))))))</x:f>
        <x:v>Review</x:v>
      </x:c>
      <x:c r="M19" s="962" t="str">
        <x:f>IF(A19="","",IF(E19&lt;0,"Negative balance - review credit memo",IF(AND(D19="",F19&lt;&gt;"Closed"),"Missing due date - investigate","")))</x:f>
        <x:v>Missing due date - investigate</x:v>
      </x:c>
    </x:row>
    <x:row r="20">
      <x:c r="A20" s="962" t="str">
        <x:f>IF('Source Data'!A15="","",'Source Data'!A15)</x:f>
        <x:v>Magnolia Property Group</x:v>
      </x:c>
      <x:c r="B20" s="962" t="str">
        <x:f>IF('Source Data'!B15="","",'Source Data'!B15)</x:f>
        <x:v>INV-1014</x:v>
      </x:c>
      <x:c r="C20" s="983" t="n">
        <x:f>IF('Source Data'!C15="","",'Source Data'!C15)</x:f>
        <x:v>46133</x:v>
      </x:c>
      <x:c r="D20" s="983" t="n">
        <x:f>IF('Source Data'!D15="","",'Source Data'!D15)</x:f>
        <x:v>46163</x:v>
      </x:c>
      <x:c r="E20" s="989" t="str">
        <x:f>IF('Source Data'!E15="","",'Source Data'!E15)</x:f>
      </x:c>
      <x:c r="F20" s="996" t="str">
        <x:f>IF('Source Data'!F15="","",'Source Data'!F15)</x:f>
        <x:v>Closed</x:v>
      </x:c>
      <x:c r="G20" s="996" t="str">
        <x:f>IF('Source Data'!G15="","",'Source Data'!G15)</x:f>
        <x:v>Wire</x:v>
      </x:c>
      <x:c r="H20" s="983" t="n">
        <x:f>IF(A20="","",'Dashboard'!$B$4)</x:f>
        <x:v>46203</x:v>
      </x:c>
      <x:c r="I20" s="997" t="str">
        <x:f>IF(OR(A20="",F20="Closed",E20=0),"",IF(D20="","",H20-D20))</x:f>
      </x:c>
      <x:c r="J20" s="996" t="str">
        <x:f>IF(A20="","",IF(OR(F20="Closed",E20=0),"Closed",IF(D20="","Unknown",IF(I20&lt;=0,"Current",IF(I20&lt;=30,"1-30",IF(I20&lt;=60,"31-60",IF(I20&lt;=90,"61-90","90+")))))))</x:f>
        <x:v>Closed</x:v>
      </x:c>
      <x:c r="K20" s="996" t="str">
        <x:f>IF(A20="","",IF(AND(E20&gt;0,I20&gt;0,F20&lt;&gt;"Closed"),"Yes","No"))</x:f>
        <x:v>No</x:v>
      </x:c>
      <x:c r="L20" s="996" t="str">
        <x:f>IF(A20="","",IF(E20&lt;0,"Review",IF(J20="Unknown","Review",IF(I20&gt;120,"Critical",IF(I20&gt;90,"High",IF(I20&gt;60,"Medium",IF(I20&gt;30,"Moderate",IF(I20&gt;0,"Low","Current"))))))))</x:f>
        <x:v>Current</x:v>
      </x:c>
      <x:c r="M20" s="962" t="str">
        <x:f>IF(A20="","",IF(E20&lt;0,"Negative balance - review credit memo",IF(AND(D20="",F20&lt;&gt;"Closed"),"Missing due date - investigate","")))</x:f>
      </x:c>
    </x:row>
    <x:row r="21">
      <x:c r="A21" s="962" t="str">
        <x:f>IF('Source Data'!A16="","",'Source Data'!A16)</x:f>
        <x:v>North Delta Equipment</x:v>
      </x:c>
      <x:c r="B21" s="962" t="str">
        <x:f>IF('Source Data'!B16="","",'Source Data'!B16)</x:f>
        <x:v>INV-1015</x:v>
      </x:c>
      <x:c r="C21" s="983" t="n">
        <x:f>IF('Source Data'!C16="","",'Source Data'!C16)</x:f>
        <x:v>46154</x:v>
      </x:c>
      <x:c r="D21" s="983" t="n">
        <x:f>IF('Source Data'!D16="","",'Source Data'!D16)</x:f>
        <x:v>46184</x:v>
      </x:c>
      <x:c r="E21" s="989" t="n">
        <x:f>IF('Source Data'!E16="","",'Source Data'!E16)</x:f>
        <x:v>13450</x:v>
      </x:c>
      <x:c r="F21" s="996" t="str">
        <x:f>IF('Source Data'!F16="","",'Source Data'!F16)</x:f>
        <x:v>Partial</x:v>
      </x:c>
      <x:c r="G21" s="996" t="str">
        <x:f>IF('Source Data'!G16="","",'Source Data'!G16)</x:f>
        <x:v>ACH</x:v>
      </x:c>
      <x:c r="H21" s="983" t="n">
        <x:f>IF(A21="","",'Dashboard'!$B$4)</x:f>
        <x:v>46203</x:v>
      </x:c>
      <x:c r="I21" s="997" t="n">
        <x:f>IF(OR(A21="",F21="Closed",E21=0),"",IF(D21="","",H21-D21))</x:f>
        <x:v>19</x:v>
      </x:c>
      <x:c r="J21" s="996" t="str">
        <x:f>IF(A21="","",IF(OR(F21="Closed",E21=0),"Closed",IF(D21="","Unknown",IF(I21&lt;=0,"Current",IF(I21&lt;=30,"1-30",IF(I21&lt;=60,"31-60",IF(I21&lt;=90,"61-90","90+")))))))</x:f>
        <x:v>1-30</x:v>
      </x:c>
      <x:c r="K21" s="996" t="str">
        <x:f>IF(A21="","",IF(AND(E21&gt;0,I21&gt;0,F21&lt;&gt;"Closed"),"Yes","No"))</x:f>
        <x:v>Yes</x:v>
      </x:c>
      <x:c r="L21" s="996" t="str">
        <x:f>IF(A21="","",IF(E21&lt;0,"Review",IF(J21="Unknown","Review",IF(I21&gt;120,"Critical",IF(I21&gt;90,"High",IF(I21&gt;60,"Medium",IF(I21&gt;30,"Moderate",IF(I21&gt;0,"Low","Current"))))))))</x:f>
        <x:v>Low</x:v>
      </x:c>
      <x:c r="M21" s="962" t="str">
        <x:f>IF(A21="","",IF(E21&lt;0,"Negative balance - review credit memo",IF(AND(D21="",F21&lt;&gt;"Closed"),"Missing due date - investigate","")))</x:f>
      </x:c>
    </x:row>
    <x:row r="22">
      <x:c r="A22" s="962" t="str">
        <x:f>IF('Source Data'!A17="","",'Source Data'!A17)</x:f>
        <x:v>Orchid Wholesale</x:v>
      </x:c>
      <x:c r="B22" s="962" t="str">
        <x:f>IF('Source Data'!B17="","",'Source Data'!B17)</x:f>
        <x:v>INV-1016</x:v>
      </x:c>
      <x:c r="C22" s="983" t="n">
        <x:f>IF('Source Data'!C17="","",'Source Data'!C17)</x:f>
        <x:v>46048</x:v>
      </x:c>
      <x:c r="D22" s="983" t="n">
        <x:f>IF('Source Data'!D17="","",'Source Data'!D17)</x:f>
        <x:v>46078</x:v>
      </x:c>
      <x:c r="E22" s="989" t="n">
        <x:f>IF('Source Data'!E17="","",'Source Data'!E17)</x:f>
        <x:v>20875</x:v>
      </x:c>
      <x:c r="F22" s="996" t="str">
        <x:f>IF('Source Data'!F17="","",'Source Data'!F17)</x:f>
        <x:v>Open</x:v>
      </x:c>
      <x:c r="G22" s="996" t="str">
        <x:f>IF('Source Data'!G17="","",'Source Data'!G17)</x:f>
        <x:v>Check</x:v>
      </x:c>
      <x:c r="H22" s="983" t="n">
        <x:f>IF(A22="","",'Dashboard'!$B$4)</x:f>
        <x:v>46203</x:v>
      </x:c>
      <x:c r="I22" s="997" t="n">
        <x:f>IF(OR(A22="",F22="Closed",E22=0),"",IF(D22="","",H22-D22))</x:f>
        <x:v>125</x:v>
      </x:c>
      <x:c r="J22" s="996" t="str">
        <x:f>IF(A22="","",IF(OR(F22="Closed",E22=0),"Closed",IF(D22="","Unknown",IF(I22&lt;=0,"Current",IF(I22&lt;=30,"1-30",IF(I22&lt;=60,"31-60",IF(I22&lt;=90,"61-90","90+")))))))</x:f>
        <x:v>90+</x:v>
      </x:c>
      <x:c r="K22" s="996" t="str">
        <x:f>IF(A22="","",IF(AND(E22&gt;0,I22&gt;0,F22&lt;&gt;"Closed"),"Yes","No"))</x:f>
        <x:v>Yes</x:v>
      </x:c>
      <x:c r="L22" s="996" t="str">
        <x:f>IF(A22="","",IF(E22&lt;0,"Review",IF(J22="Unknown","Review",IF(I22&gt;120,"Critical",IF(I22&gt;90,"High",IF(I22&gt;60,"Medium",IF(I22&gt;30,"Moderate",IF(I22&gt;0,"Low","Current"))))))))</x:f>
        <x:v>Critical</x:v>
      </x:c>
      <x:c r="M22" s="962" t="str">
        <x:f>IF(A22="","",IF(E22&lt;0,"Negative balance - review credit memo",IF(AND(D22="",F22&lt;&gt;"Closed"),"Missing due date - investigate","")))</x:f>
      </x:c>
    </x:row>
    <x:row r="23">
      <x:c r="A23" s="962" t="str">
        <x:f>IF('Source Data'!A18="","",'Source Data'!A18)</x:f>
      </x:c>
      <x:c r="B23" s="962" t="str">
        <x:f>IF('Source Data'!B18="","",'Source Data'!B18)</x:f>
      </x:c>
      <x:c r="C23" s="983" t="str">
        <x:f>IF('Source Data'!C18="","",'Source Data'!C18)</x:f>
      </x:c>
      <x:c r="D23" s="983" t="str">
        <x:f>IF('Source Data'!D18="","",'Source Data'!D18)</x:f>
      </x:c>
      <x:c r="E23" s="989" t="str">
        <x:f>IF('Source Data'!E18="","",'Source Data'!E18)</x:f>
      </x:c>
      <x:c r="F23" s="996" t="str">
        <x:f>IF('Source Data'!F18="","",'Source Data'!F18)</x:f>
      </x:c>
      <x:c r="G23" s="996" t="str">
        <x:f>IF('Source Data'!G18="","",'Source Data'!G18)</x:f>
      </x:c>
      <x:c r="H23" s="983" t="str">
        <x:f>IF(A23="","",'Dashboard'!$B$4)</x:f>
      </x:c>
      <x:c r="I23" s="997" t="str">
        <x:f>IF(OR(A23="",F23="Closed",E23=0),"",IF(D23="","",H23-D23))</x:f>
      </x:c>
      <x:c r="J23" s="996" t="str">
        <x:f>IF(A23="","",IF(OR(F23="Closed",E23=0),"Closed",IF(D23="","Unknown",IF(I23&lt;=0,"Current",IF(I23&lt;=30,"1-30",IF(I23&lt;=60,"31-60",IF(I23&lt;=90,"61-90","90+")))))))</x:f>
      </x:c>
      <x:c r="K23" s="996" t="str">
        <x:f>IF(A23="","",IF(AND(E23&gt;0,I23&gt;0,F23&lt;&gt;"Closed"),"Yes","No"))</x:f>
      </x:c>
      <x:c r="L23" s="996" t="str">
        <x:f>IF(A23="","",IF(E23&lt;0,"Review",IF(J23="Unknown","Review",IF(I23&gt;120,"Critical",IF(I23&gt;90,"High",IF(I23&gt;60,"Medium",IF(I23&gt;30,"Moderate",IF(I23&gt;0,"Low","Current"))))))))</x:f>
      </x:c>
      <x:c r="M23" s="962" t="str">
        <x:f>IF(A23="","",IF(E23&lt;0,"Negative balance - review credit memo",IF(AND(D23="",F23&lt;&gt;"Closed"),"Missing due date - investigate","")))</x:f>
      </x:c>
    </x:row>
    <x:row r="24">
      <x:c r="A24" s="962" t="str">
        <x:f>IF('Source Data'!A19="","",'Source Data'!A19)</x:f>
      </x:c>
      <x:c r="B24" s="962" t="str">
        <x:f>IF('Source Data'!B19="","",'Source Data'!B19)</x:f>
      </x:c>
      <x:c r="C24" s="983" t="str">
        <x:f>IF('Source Data'!C19="","",'Source Data'!C19)</x:f>
      </x:c>
      <x:c r="D24" s="983" t="str">
        <x:f>IF('Source Data'!D19="","",'Source Data'!D19)</x:f>
      </x:c>
      <x:c r="E24" s="989" t="str">
        <x:f>IF('Source Data'!E19="","",'Source Data'!E19)</x:f>
      </x:c>
      <x:c r="F24" s="996" t="str">
        <x:f>IF('Source Data'!F19="","",'Source Data'!F19)</x:f>
      </x:c>
      <x:c r="G24" s="996" t="str">
        <x:f>IF('Source Data'!G19="","",'Source Data'!G19)</x:f>
      </x:c>
      <x:c r="H24" s="983" t="str">
        <x:f>IF(A24="","",'Dashboard'!$B$4)</x:f>
      </x:c>
      <x:c r="I24" s="997" t="str">
        <x:f>IF(OR(A24="",F24="Closed",E24=0),"",IF(D24="","",H24-D24))</x:f>
      </x:c>
      <x:c r="J24" s="996" t="str">
        <x:f>IF(A24="","",IF(OR(F24="Closed",E24=0),"Closed",IF(D24="","Unknown",IF(I24&lt;=0,"Current",IF(I24&lt;=30,"1-30",IF(I24&lt;=60,"31-60",IF(I24&lt;=90,"61-90","90+")))))))</x:f>
      </x:c>
      <x:c r="K24" s="996" t="str">
        <x:f>IF(A24="","",IF(AND(E24&gt;0,I24&gt;0,F24&lt;&gt;"Closed"),"Yes","No"))</x:f>
      </x:c>
      <x:c r="L24" s="996" t="str">
        <x:f>IF(A24="","",IF(E24&lt;0,"Review",IF(J24="Unknown","Review",IF(I24&gt;120,"Critical",IF(I24&gt;90,"High",IF(I24&gt;60,"Medium",IF(I24&gt;30,"Moderate",IF(I24&gt;0,"Low","Current"))))))))</x:f>
      </x:c>
      <x:c r="M24" s="962" t="str">
        <x:f>IF(A24="","",IF(E24&lt;0,"Negative balance - review credit memo",IF(AND(D24="",F24&lt;&gt;"Closed"),"Missing due date - investigate","")))</x:f>
      </x:c>
    </x:row>
    <x:row r="25">
      <x:c r="A25" s="962" t="str">
        <x:f>IF('Source Data'!A20="","",'Source Data'!A20)</x:f>
      </x:c>
      <x:c r="B25" s="962" t="str">
        <x:f>IF('Source Data'!B20="","",'Source Data'!B20)</x:f>
      </x:c>
      <x:c r="C25" s="983" t="str">
        <x:f>IF('Source Data'!C20="","",'Source Data'!C20)</x:f>
      </x:c>
      <x:c r="D25" s="983" t="str">
        <x:f>IF('Source Data'!D20="","",'Source Data'!D20)</x:f>
      </x:c>
      <x:c r="E25" s="989" t="str">
        <x:f>IF('Source Data'!E20="","",'Source Data'!E20)</x:f>
      </x:c>
      <x:c r="F25" s="996" t="str">
        <x:f>IF('Source Data'!F20="","",'Source Data'!F20)</x:f>
      </x:c>
      <x:c r="G25" s="996" t="str">
        <x:f>IF('Source Data'!G20="","",'Source Data'!G20)</x:f>
      </x:c>
      <x:c r="H25" s="983" t="str">
        <x:f>IF(A25="","",'Dashboard'!$B$4)</x:f>
      </x:c>
      <x:c r="I25" s="997" t="str">
        <x:f>IF(OR(A25="",F25="Closed",E25=0),"",IF(D25="","",H25-D25))</x:f>
      </x:c>
      <x:c r="J25" s="996" t="str">
        <x:f>IF(A25="","",IF(OR(F25="Closed",E25=0),"Closed",IF(D25="","Unknown",IF(I25&lt;=0,"Current",IF(I25&lt;=30,"1-30",IF(I25&lt;=60,"31-60",IF(I25&lt;=90,"61-90","90+")))))))</x:f>
      </x:c>
      <x:c r="K25" s="996" t="str">
        <x:f>IF(A25="","",IF(AND(E25&gt;0,I25&gt;0,F25&lt;&gt;"Closed"),"Yes","No"))</x:f>
      </x:c>
      <x:c r="L25" s="996" t="str">
        <x:f>IF(A25="","",IF(E25&lt;0,"Review",IF(J25="Unknown","Review",IF(I25&gt;120,"Critical",IF(I25&gt;90,"High",IF(I25&gt;60,"Medium",IF(I25&gt;30,"Moderate",IF(I25&gt;0,"Low","Current"))))))))</x:f>
      </x:c>
      <x:c r="M25" s="962" t="str">
        <x:f>IF(A25="","",IF(E25&lt;0,"Negative balance - review credit memo",IF(AND(D25="",F25&lt;&gt;"Closed"),"Missing due date - investigate","")))</x:f>
      </x:c>
    </x:row>
    <x:row r="26">
      <x:c r="A26" s="962" t="str">
        <x:f>IF('Source Data'!A21="","",'Source Data'!A21)</x:f>
      </x:c>
      <x:c r="B26" s="962" t="str">
        <x:f>IF('Source Data'!B21="","",'Source Data'!B21)</x:f>
      </x:c>
      <x:c r="C26" s="983" t="str">
        <x:f>IF('Source Data'!C21="","",'Source Data'!C21)</x:f>
      </x:c>
      <x:c r="D26" s="983" t="str">
        <x:f>IF('Source Data'!D21="","",'Source Data'!D21)</x:f>
      </x:c>
      <x:c r="E26" s="989" t="str">
        <x:f>IF('Source Data'!E21="","",'Source Data'!E21)</x:f>
      </x:c>
      <x:c r="F26" s="996" t="str">
        <x:f>IF('Source Data'!F21="","",'Source Data'!F21)</x:f>
      </x:c>
      <x:c r="G26" s="996" t="str">
        <x:f>IF('Source Data'!G21="","",'Source Data'!G21)</x:f>
      </x:c>
      <x:c r="H26" s="983" t="str">
        <x:f>IF(A26="","",'Dashboard'!$B$4)</x:f>
      </x:c>
      <x:c r="I26" s="997" t="str">
        <x:f>IF(OR(A26="",F26="Closed",E26=0),"",IF(D26="","",H26-D26))</x:f>
      </x:c>
      <x:c r="J26" s="996" t="str">
        <x:f>IF(A26="","",IF(OR(F26="Closed",E26=0),"Closed",IF(D26="","Unknown",IF(I26&lt;=0,"Current",IF(I26&lt;=30,"1-30",IF(I26&lt;=60,"31-60",IF(I26&lt;=90,"61-90","90+")))))))</x:f>
      </x:c>
      <x:c r="K26" s="996" t="str">
        <x:f>IF(A26="","",IF(AND(E26&gt;0,I26&gt;0,F26&lt;&gt;"Closed"),"Yes","No"))</x:f>
      </x:c>
      <x:c r="L26" s="996" t="str">
        <x:f>IF(A26="","",IF(E26&lt;0,"Review",IF(J26="Unknown","Review",IF(I26&gt;120,"Critical",IF(I26&gt;90,"High",IF(I26&gt;60,"Medium",IF(I26&gt;30,"Moderate",IF(I26&gt;0,"Low","Current"))))))))</x:f>
      </x:c>
      <x:c r="M26" s="962" t="str">
        <x:f>IF(A26="","",IF(E26&lt;0,"Negative balance - review credit memo",IF(AND(D26="",F26&lt;&gt;"Closed"),"Missing due date - investigate","")))</x:f>
      </x:c>
    </x:row>
    <x:row r="27">
      <x:c r="A27" s="962" t="str">
        <x:f>IF('Source Data'!A22="","",'Source Data'!A22)</x:f>
      </x:c>
      <x:c r="B27" s="962" t="str">
        <x:f>IF('Source Data'!B22="","",'Source Data'!B22)</x:f>
      </x:c>
      <x:c r="C27" s="983" t="str">
        <x:f>IF('Source Data'!C22="","",'Source Data'!C22)</x:f>
      </x:c>
      <x:c r="D27" s="983" t="str">
        <x:f>IF('Source Data'!D22="","",'Source Data'!D22)</x:f>
      </x:c>
      <x:c r="E27" s="989" t="str">
        <x:f>IF('Source Data'!E22="","",'Source Data'!E22)</x:f>
      </x:c>
      <x:c r="F27" s="996" t="str">
        <x:f>IF('Source Data'!F22="","",'Source Data'!F22)</x:f>
      </x:c>
      <x:c r="G27" s="996" t="str">
        <x:f>IF('Source Data'!G22="","",'Source Data'!G22)</x:f>
      </x:c>
      <x:c r="H27" s="983" t="str">
        <x:f>IF(A27="","",'Dashboard'!$B$4)</x:f>
      </x:c>
      <x:c r="I27" s="997" t="str">
        <x:f>IF(OR(A27="",F27="Closed",E27=0),"",IF(D27="","",H27-D27))</x:f>
      </x:c>
      <x:c r="J27" s="996" t="str">
        <x:f>IF(A27="","",IF(OR(F27="Closed",E27=0),"Closed",IF(D27="","Unknown",IF(I27&lt;=0,"Current",IF(I27&lt;=30,"1-30",IF(I27&lt;=60,"31-60",IF(I27&lt;=90,"61-90","90+")))))))</x:f>
      </x:c>
      <x:c r="K27" s="996" t="str">
        <x:f>IF(A27="","",IF(AND(E27&gt;0,I27&gt;0,F27&lt;&gt;"Closed"),"Yes","No"))</x:f>
      </x:c>
      <x:c r="L27" s="996" t="str">
        <x:f>IF(A27="","",IF(E27&lt;0,"Review",IF(J27="Unknown","Review",IF(I27&gt;120,"Critical",IF(I27&gt;90,"High",IF(I27&gt;60,"Medium",IF(I27&gt;30,"Moderate",IF(I27&gt;0,"Low","Current"))))))))</x:f>
      </x:c>
      <x:c r="M27" s="962" t="str">
        <x:f>IF(A27="","",IF(E27&lt;0,"Negative balance - review credit memo",IF(AND(D27="",F27&lt;&gt;"Closed"),"Missing due date - investigate","")))</x:f>
      </x:c>
    </x:row>
    <x:row r="28">
      <x:c r="A28" s="962" t="str">
        <x:f>IF('Source Data'!A23="","",'Source Data'!A23)</x:f>
      </x:c>
      <x:c r="B28" s="962" t="str">
        <x:f>IF('Source Data'!B23="","",'Source Data'!B23)</x:f>
      </x:c>
      <x:c r="C28" s="983" t="str">
        <x:f>IF('Source Data'!C23="","",'Source Data'!C23)</x:f>
      </x:c>
      <x:c r="D28" s="983" t="str">
        <x:f>IF('Source Data'!D23="","",'Source Data'!D23)</x:f>
      </x:c>
      <x:c r="E28" s="989" t="str">
        <x:f>IF('Source Data'!E23="","",'Source Data'!E23)</x:f>
      </x:c>
      <x:c r="F28" s="996" t="str">
        <x:f>IF('Source Data'!F23="","",'Source Data'!F23)</x:f>
      </x:c>
      <x:c r="G28" s="996" t="str">
        <x:f>IF('Source Data'!G23="","",'Source Data'!G23)</x:f>
      </x:c>
      <x:c r="H28" s="983" t="str">
        <x:f>IF(A28="","",'Dashboard'!$B$4)</x:f>
      </x:c>
      <x:c r="I28" s="997" t="str">
        <x:f>IF(OR(A28="",F28="Closed",E28=0),"",IF(D28="","",H28-D28))</x:f>
      </x:c>
      <x:c r="J28" s="996" t="str">
        <x:f>IF(A28="","",IF(OR(F28="Closed",E28=0),"Closed",IF(D28="","Unknown",IF(I28&lt;=0,"Current",IF(I28&lt;=30,"1-30",IF(I28&lt;=60,"31-60",IF(I28&lt;=90,"61-90","90+")))))))</x:f>
      </x:c>
      <x:c r="K28" s="996" t="str">
        <x:f>IF(A28="","",IF(AND(E28&gt;0,I28&gt;0,F28&lt;&gt;"Closed"),"Yes","No"))</x:f>
      </x:c>
      <x:c r="L28" s="996" t="str">
        <x:f>IF(A28="","",IF(E28&lt;0,"Review",IF(J28="Unknown","Review",IF(I28&gt;120,"Critical",IF(I28&gt;90,"High",IF(I28&gt;60,"Medium",IF(I28&gt;30,"Moderate",IF(I28&gt;0,"Low","Current"))))))))</x:f>
      </x:c>
      <x:c r="M28" s="962" t="str">
        <x:f>IF(A28="","",IF(E28&lt;0,"Negative balance - review credit memo",IF(AND(D28="",F28&lt;&gt;"Closed"),"Missing due date - investigate","")))</x:f>
      </x:c>
    </x:row>
    <x:row r="29">
      <x:c r="A29" s="962" t="str">
        <x:f>IF('Source Data'!A24="","",'Source Data'!A24)</x:f>
      </x:c>
      <x:c r="B29" s="962" t="str">
        <x:f>IF('Source Data'!B24="","",'Source Data'!B24)</x:f>
      </x:c>
      <x:c r="C29" s="983" t="str">
        <x:f>IF('Source Data'!C24="","",'Source Data'!C24)</x:f>
      </x:c>
      <x:c r="D29" s="983" t="str">
        <x:f>IF('Source Data'!D24="","",'Source Data'!D24)</x:f>
      </x:c>
      <x:c r="E29" s="989" t="str">
        <x:f>IF('Source Data'!E24="","",'Source Data'!E24)</x:f>
      </x:c>
      <x:c r="F29" s="996" t="str">
        <x:f>IF('Source Data'!F24="","",'Source Data'!F24)</x:f>
      </x:c>
      <x:c r="G29" s="996" t="str">
        <x:f>IF('Source Data'!G24="","",'Source Data'!G24)</x:f>
      </x:c>
      <x:c r="H29" s="983" t="str">
        <x:f>IF(A29="","",'Dashboard'!$B$4)</x:f>
      </x:c>
      <x:c r="I29" s="997" t="str">
        <x:f>IF(OR(A29="",F29="Closed",E29=0),"",IF(D29="","",H29-D29))</x:f>
      </x:c>
      <x:c r="J29" s="996" t="str">
        <x:f>IF(A29="","",IF(OR(F29="Closed",E29=0),"Closed",IF(D29="","Unknown",IF(I29&lt;=0,"Current",IF(I29&lt;=30,"1-30",IF(I29&lt;=60,"31-60",IF(I29&lt;=90,"61-90","90+")))))))</x:f>
      </x:c>
      <x:c r="K29" s="996" t="str">
        <x:f>IF(A29="","",IF(AND(E29&gt;0,I29&gt;0,F29&lt;&gt;"Closed"),"Yes","No"))</x:f>
      </x:c>
      <x:c r="L29" s="996" t="str">
        <x:f>IF(A29="","",IF(E29&lt;0,"Review",IF(J29="Unknown","Review",IF(I29&gt;120,"Critical",IF(I29&gt;90,"High",IF(I29&gt;60,"Medium",IF(I29&gt;30,"Moderate",IF(I29&gt;0,"Low","Current"))))))))</x:f>
      </x:c>
      <x:c r="M29" s="962" t="str">
        <x:f>IF(A29="","",IF(E29&lt;0,"Negative balance - review credit memo",IF(AND(D29="",F29&lt;&gt;"Closed"),"Missing due date - investigate","")))</x:f>
      </x:c>
    </x:row>
    <x:row r="30">
      <x:c r="A30" s="962" t="str">
        <x:f>IF('Source Data'!A25="","",'Source Data'!A25)</x:f>
      </x:c>
      <x:c r="B30" s="962" t="str">
        <x:f>IF('Source Data'!B25="","",'Source Data'!B25)</x:f>
      </x:c>
      <x:c r="C30" s="983" t="str">
        <x:f>IF('Source Data'!C25="","",'Source Data'!C25)</x:f>
      </x:c>
      <x:c r="D30" s="983" t="str">
        <x:f>IF('Source Data'!D25="","",'Source Data'!D25)</x:f>
      </x:c>
      <x:c r="E30" s="989" t="str">
        <x:f>IF('Source Data'!E25="","",'Source Data'!E25)</x:f>
      </x:c>
      <x:c r="F30" s="996" t="str">
        <x:f>IF('Source Data'!F25="","",'Source Data'!F25)</x:f>
      </x:c>
      <x:c r="G30" s="996" t="str">
        <x:f>IF('Source Data'!G25="","",'Source Data'!G25)</x:f>
      </x:c>
      <x:c r="H30" s="983" t="str">
        <x:f>IF(A30="","",'Dashboard'!$B$4)</x:f>
      </x:c>
      <x:c r="I30" s="997" t="str">
        <x:f>IF(OR(A30="",F30="Closed",E30=0),"",IF(D30="","",H30-D30))</x:f>
      </x:c>
      <x:c r="J30" s="996" t="str">
        <x:f>IF(A30="","",IF(OR(F30="Closed",E30=0),"Closed",IF(D30="","Unknown",IF(I30&lt;=0,"Current",IF(I30&lt;=30,"1-30",IF(I30&lt;=60,"31-60",IF(I30&lt;=90,"61-90","90+")))))))</x:f>
      </x:c>
      <x:c r="K30" s="996" t="str">
        <x:f>IF(A30="","",IF(AND(E30&gt;0,I30&gt;0,F30&lt;&gt;"Closed"),"Yes","No"))</x:f>
      </x:c>
      <x:c r="L30" s="996" t="str">
        <x:f>IF(A30="","",IF(E30&lt;0,"Review",IF(J30="Unknown","Review",IF(I30&gt;120,"Critical",IF(I30&gt;90,"High",IF(I30&gt;60,"Medium",IF(I30&gt;30,"Moderate",IF(I30&gt;0,"Low","Current"))))))))</x:f>
      </x:c>
      <x:c r="M30" s="962" t="str">
        <x:f>IF(A30="","",IF(E30&lt;0,"Negative balance - review credit memo",IF(AND(D30="",F30&lt;&gt;"Closed"),"Missing due date - investigate","")))</x:f>
      </x:c>
    </x:row>
    <x:row r="31">
      <x:c r="A31" s="962" t="str">
        <x:f>IF('Source Data'!A26="","",'Source Data'!A26)</x:f>
      </x:c>
      <x:c r="B31" s="962" t="str">
        <x:f>IF('Source Data'!B26="","",'Source Data'!B26)</x:f>
      </x:c>
      <x:c r="C31" s="983" t="str">
        <x:f>IF('Source Data'!C26="","",'Source Data'!C26)</x:f>
      </x:c>
      <x:c r="D31" s="983" t="str">
        <x:f>IF('Source Data'!D26="","",'Source Data'!D26)</x:f>
      </x:c>
      <x:c r="E31" s="989" t="str">
        <x:f>IF('Source Data'!E26="","",'Source Data'!E26)</x:f>
      </x:c>
      <x:c r="F31" s="996" t="str">
        <x:f>IF('Source Data'!F26="","",'Source Data'!F26)</x:f>
      </x:c>
      <x:c r="G31" s="996" t="str">
        <x:f>IF('Source Data'!G26="","",'Source Data'!G26)</x:f>
      </x:c>
      <x:c r="H31" s="983" t="str">
        <x:f>IF(A31="","",'Dashboard'!$B$4)</x:f>
      </x:c>
      <x:c r="I31" s="997" t="str">
        <x:f>IF(OR(A31="",F31="Closed",E31=0),"",IF(D31="","",H31-D31))</x:f>
      </x:c>
      <x:c r="J31" s="996" t="str">
        <x:f>IF(A31="","",IF(OR(F31="Closed",E31=0),"Closed",IF(D31="","Unknown",IF(I31&lt;=0,"Current",IF(I31&lt;=30,"1-30",IF(I31&lt;=60,"31-60",IF(I31&lt;=90,"61-90","90+")))))))</x:f>
      </x:c>
      <x:c r="K31" s="996" t="str">
        <x:f>IF(A31="","",IF(AND(E31&gt;0,I31&gt;0,F31&lt;&gt;"Closed"),"Yes","No"))</x:f>
      </x:c>
      <x:c r="L31" s="996" t="str">
        <x:f>IF(A31="","",IF(E31&lt;0,"Review",IF(J31="Unknown","Review",IF(I31&gt;120,"Critical",IF(I31&gt;90,"High",IF(I31&gt;60,"Medium",IF(I31&gt;30,"Moderate",IF(I31&gt;0,"Low","Current"))))))))</x:f>
      </x:c>
      <x:c r="M31" s="962" t="str">
        <x:f>IF(A31="","",IF(E31&lt;0,"Negative balance - review credit memo",IF(AND(D31="",F31&lt;&gt;"Closed"),"Missing due date - investigate","")))</x:f>
      </x:c>
    </x:row>
    <x:row r="32">
      <x:c r="A32" s="962" t="str">
        <x:f>IF('Source Data'!A27="","",'Source Data'!A27)</x:f>
      </x:c>
      <x:c r="B32" s="962" t="str">
        <x:f>IF('Source Data'!B27="","",'Source Data'!B27)</x:f>
      </x:c>
      <x:c r="C32" s="983" t="str">
        <x:f>IF('Source Data'!C27="","",'Source Data'!C27)</x:f>
      </x:c>
      <x:c r="D32" s="983" t="str">
        <x:f>IF('Source Data'!D27="","",'Source Data'!D27)</x:f>
      </x:c>
      <x:c r="E32" s="989" t="str">
        <x:f>IF('Source Data'!E27="","",'Source Data'!E27)</x:f>
      </x:c>
      <x:c r="F32" s="996" t="str">
        <x:f>IF('Source Data'!F27="","",'Source Data'!F27)</x:f>
      </x:c>
      <x:c r="G32" s="996" t="str">
        <x:f>IF('Source Data'!G27="","",'Source Data'!G27)</x:f>
      </x:c>
      <x:c r="H32" s="983" t="str">
        <x:f>IF(A32="","",'Dashboard'!$B$4)</x:f>
      </x:c>
      <x:c r="I32" s="997" t="str">
        <x:f>IF(OR(A32="",F32="Closed",E32=0),"",IF(D32="","",H32-D32))</x:f>
      </x:c>
      <x:c r="J32" s="996" t="str">
        <x:f>IF(A32="","",IF(OR(F32="Closed",E32=0),"Closed",IF(D32="","Unknown",IF(I32&lt;=0,"Current",IF(I32&lt;=30,"1-30",IF(I32&lt;=60,"31-60",IF(I32&lt;=90,"61-90","90+")))))))</x:f>
      </x:c>
      <x:c r="K32" s="996" t="str">
        <x:f>IF(A32="","",IF(AND(E32&gt;0,I32&gt;0,F32&lt;&gt;"Closed"),"Yes","No"))</x:f>
      </x:c>
      <x:c r="L32" s="996" t="str">
        <x:f>IF(A32="","",IF(E32&lt;0,"Review",IF(J32="Unknown","Review",IF(I32&gt;120,"Critical",IF(I32&gt;90,"High",IF(I32&gt;60,"Medium",IF(I32&gt;30,"Moderate",IF(I32&gt;0,"Low","Current"))))))))</x:f>
      </x:c>
      <x:c r="M32" s="962" t="str">
        <x:f>IF(A32="","",IF(E32&lt;0,"Negative balance - review credit memo",IF(AND(D32="",F32&lt;&gt;"Closed"),"Missing due date - investigate","")))</x:f>
      </x:c>
    </x:row>
    <x:row r="33">
      <x:c r="A33" s="962" t="str">
        <x:f>IF('Source Data'!A28="","",'Source Data'!A28)</x:f>
      </x:c>
      <x:c r="B33" s="962" t="str">
        <x:f>IF('Source Data'!B28="","",'Source Data'!B28)</x:f>
      </x:c>
      <x:c r="C33" s="983" t="str">
        <x:f>IF('Source Data'!C28="","",'Source Data'!C28)</x:f>
      </x:c>
      <x:c r="D33" s="983" t="str">
        <x:f>IF('Source Data'!D28="","",'Source Data'!D28)</x:f>
      </x:c>
      <x:c r="E33" s="989" t="str">
        <x:f>IF('Source Data'!E28="","",'Source Data'!E28)</x:f>
      </x:c>
      <x:c r="F33" s="996" t="str">
        <x:f>IF('Source Data'!F28="","",'Source Data'!F28)</x:f>
      </x:c>
      <x:c r="G33" s="996" t="str">
        <x:f>IF('Source Data'!G28="","",'Source Data'!G28)</x:f>
      </x:c>
      <x:c r="H33" s="983" t="str">
        <x:f>IF(A33="","",'Dashboard'!$B$4)</x:f>
      </x:c>
      <x:c r="I33" s="997" t="str">
        <x:f>IF(OR(A33="",F33="Closed",E33=0),"",IF(D33="","",H33-D33))</x:f>
      </x:c>
      <x:c r="J33" s="996" t="str">
        <x:f>IF(A33="","",IF(OR(F33="Closed",E33=0),"Closed",IF(D33="","Unknown",IF(I33&lt;=0,"Current",IF(I33&lt;=30,"1-30",IF(I33&lt;=60,"31-60",IF(I33&lt;=90,"61-90","90+")))))))</x:f>
      </x:c>
      <x:c r="K33" s="996" t="str">
        <x:f>IF(A33="","",IF(AND(E33&gt;0,I33&gt;0,F33&lt;&gt;"Closed"),"Yes","No"))</x:f>
      </x:c>
      <x:c r="L33" s="996" t="str">
        <x:f>IF(A33="","",IF(E33&lt;0,"Review",IF(J33="Unknown","Review",IF(I33&gt;120,"Critical",IF(I33&gt;90,"High",IF(I33&gt;60,"Medium",IF(I33&gt;30,"Moderate",IF(I33&gt;0,"Low","Current"))))))))</x:f>
      </x:c>
      <x:c r="M33" s="962" t="str">
        <x:f>IF(A33="","",IF(E33&lt;0,"Negative balance - review credit memo",IF(AND(D33="",F33&lt;&gt;"Closed"),"Missing due date - investigate","")))</x:f>
      </x:c>
    </x:row>
    <x:row r="34">
      <x:c r="A34" s="962" t="str">
        <x:f>IF('Source Data'!A29="","",'Source Data'!A29)</x:f>
      </x:c>
      <x:c r="B34" s="962" t="str">
        <x:f>IF('Source Data'!B29="","",'Source Data'!B29)</x:f>
      </x:c>
      <x:c r="C34" s="983" t="str">
        <x:f>IF('Source Data'!C29="","",'Source Data'!C29)</x:f>
      </x:c>
      <x:c r="D34" s="983" t="str">
        <x:f>IF('Source Data'!D29="","",'Source Data'!D29)</x:f>
      </x:c>
      <x:c r="E34" s="989" t="str">
        <x:f>IF('Source Data'!E29="","",'Source Data'!E29)</x:f>
      </x:c>
      <x:c r="F34" s="996" t="str">
        <x:f>IF('Source Data'!F29="","",'Source Data'!F29)</x:f>
      </x:c>
      <x:c r="G34" s="996" t="str">
        <x:f>IF('Source Data'!G29="","",'Source Data'!G29)</x:f>
      </x:c>
      <x:c r="H34" s="983" t="str">
        <x:f>IF(A34="","",'Dashboard'!$B$4)</x:f>
      </x:c>
      <x:c r="I34" s="997" t="str">
        <x:f>IF(OR(A34="",F34="Closed",E34=0),"",IF(D34="","",H34-D34))</x:f>
      </x:c>
      <x:c r="J34" s="996" t="str">
        <x:f>IF(A34="","",IF(OR(F34="Closed",E34=0),"Closed",IF(D34="","Unknown",IF(I34&lt;=0,"Current",IF(I34&lt;=30,"1-30",IF(I34&lt;=60,"31-60",IF(I34&lt;=90,"61-90","90+")))))))</x:f>
      </x:c>
      <x:c r="K34" s="996" t="str">
        <x:f>IF(A34="","",IF(AND(E34&gt;0,I34&gt;0,F34&lt;&gt;"Closed"),"Yes","No"))</x:f>
      </x:c>
      <x:c r="L34" s="996" t="str">
        <x:f>IF(A34="","",IF(E34&lt;0,"Review",IF(J34="Unknown","Review",IF(I34&gt;120,"Critical",IF(I34&gt;90,"High",IF(I34&gt;60,"Medium",IF(I34&gt;30,"Moderate",IF(I34&gt;0,"Low","Current"))))))))</x:f>
      </x:c>
      <x:c r="M34" s="962" t="str">
        <x:f>IF(A34="","",IF(E34&lt;0,"Negative balance - review credit memo",IF(AND(D34="",F34&lt;&gt;"Closed"),"Missing due date - investigate","")))</x:f>
      </x:c>
    </x:row>
    <x:row r="35">
      <x:c r="A35" s="962" t="str">
        <x:f>IF('Source Data'!A30="","",'Source Data'!A30)</x:f>
      </x:c>
      <x:c r="B35" s="962" t="str">
        <x:f>IF('Source Data'!B30="","",'Source Data'!B30)</x:f>
      </x:c>
      <x:c r="C35" s="983" t="str">
        <x:f>IF('Source Data'!C30="","",'Source Data'!C30)</x:f>
      </x:c>
      <x:c r="D35" s="983" t="str">
        <x:f>IF('Source Data'!D30="","",'Source Data'!D30)</x:f>
      </x:c>
      <x:c r="E35" s="989" t="str">
        <x:f>IF('Source Data'!E30="","",'Source Data'!E30)</x:f>
      </x:c>
      <x:c r="F35" s="996" t="str">
        <x:f>IF('Source Data'!F30="","",'Source Data'!F30)</x:f>
      </x:c>
      <x:c r="G35" s="996" t="str">
        <x:f>IF('Source Data'!G30="","",'Source Data'!G30)</x:f>
      </x:c>
      <x:c r="H35" s="983" t="str">
        <x:f>IF(A35="","",'Dashboard'!$B$4)</x:f>
      </x:c>
      <x:c r="I35" s="997" t="str">
        <x:f>IF(OR(A35="",F35="Closed",E35=0),"",IF(D35="","",H35-D35))</x:f>
      </x:c>
      <x:c r="J35" s="996" t="str">
        <x:f>IF(A35="","",IF(OR(F35="Closed",E35=0),"Closed",IF(D35="","Unknown",IF(I35&lt;=0,"Current",IF(I35&lt;=30,"1-30",IF(I35&lt;=60,"31-60",IF(I35&lt;=90,"61-90","90+")))))))</x:f>
      </x:c>
      <x:c r="K35" s="996" t="str">
        <x:f>IF(A35="","",IF(AND(E35&gt;0,I35&gt;0,F35&lt;&gt;"Closed"),"Yes","No"))</x:f>
      </x:c>
      <x:c r="L35" s="996" t="str">
        <x:f>IF(A35="","",IF(E35&lt;0,"Review",IF(J35="Unknown","Review",IF(I35&gt;120,"Critical",IF(I35&gt;90,"High",IF(I35&gt;60,"Medium",IF(I35&gt;30,"Moderate",IF(I35&gt;0,"Low","Current"))))))))</x:f>
      </x:c>
      <x:c r="M35" s="962" t="str">
        <x:f>IF(A35="","",IF(E35&lt;0,"Negative balance - review credit memo",IF(AND(D35="",F35&lt;&gt;"Closed"),"Missing due date - investigate","")))</x:f>
      </x:c>
    </x:row>
    <x:row r="36">
      <x:c r="A36" s="962" t="str">
        <x:f>IF('Source Data'!A31="","",'Source Data'!A31)</x:f>
      </x:c>
      <x:c r="B36" s="962" t="str">
        <x:f>IF('Source Data'!B31="","",'Source Data'!B31)</x:f>
      </x:c>
      <x:c r="C36" s="983" t="str">
        <x:f>IF('Source Data'!C31="","",'Source Data'!C31)</x:f>
      </x:c>
      <x:c r="D36" s="983" t="str">
        <x:f>IF('Source Data'!D31="","",'Source Data'!D31)</x:f>
      </x:c>
      <x:c r="E36" s="989" t="str">
        <x:f>IF('Source Data'!E31="","",'Source Data'!E31)</x:f>
      </x:c>
      <x:c r="F36" s="996" t="str">
        <x:f>IF('Source Data'!F31="","",'Source Data'!F31)</x:f>
      </x:c>
      <x:c r="G36" s="996" t="str">
        <x:f>IF('Source Data'!G31="","",'Source Data'!G31)</x:f>
      </x:c>
      <x:c r="H36" s="983" t="str">
        <x:f>IF(A36="","",'Dashboard'!$B$4)</x:f>
      </x:c>
      <x:c r="I36" s="997" t="str">
        <x:f>IF(OR(A36="",F36="Closed",E36=0),"",IF(D36="","",H36-D36))</x:f>
      </x:c>
      <x:c r="J36" s="996" t="str">
        <x:f>IF(A36="","",IF(OR(F36="Closed",E36=0),"Closed",IF(D36="","Unknown",IF(I36&lt;=0,"Current",IF(I36&lt;=30,"1-30",IF(I36&lt;=60,"31-60",IF(I36&lt;=90,"61-90","90+")))))))</x:f>
      </x:c>
      <x:c r="K36" s="996" t="str">
        <x:f>IF(A36="","",IF(AND(E36&gt;0,I36&gt;0,F36&lt;&gt;"Closed"),"Yes","No"))</x:f>
      </x:c>
      <x:c r="L36" s="996" t="str">
        <x:f>IF(A36="","",IF(E36&lt;0,"Review",IF(J36="Unknown","Review",IF(I36&gt;120,"Critical",IF(I36&gt;90,"High",IF(I36&gt;60,"Medium",IF(I36&gt;30,"Moderate",IF(I36&gt;0,"Low","Current"))))))))</x:f>
      </x:c>
      <x:c r="M36" s="962" t="str">
        <x:f>IF(A36="","",IF(E36&lt;0,"Negative balance - review credit memo",IF(AND(D36="",F36&lt;&gt;"Closed"),"Missing due date - investigate","")))</x:f>
      </x:c>
    </x:row>
    <x:row r="37">
      <x:c r="A37" s="962" t="str">
        <x:f>IF('Source Data'!A32="","",'Source Data'!A32)</x:f>
      </x:c>
      <x:c r="B37" s="962" t="str">
        <x:f>IF('Source Data'!B32="","",'Source Data'!B32)</x:f>
      </x:c>
      <x:c r="C37" s="983" t="str">
        <x:f>IF('Source Data'!C32="","",'Source Data'!C32)</x:f>
      </x:c>
      <x:c r="D37" s="983" t="str">
        <x:f>IF('Source Data'!D32="","",'Source Data'!D32)</x:f>
      </x:c>
      <x:c r="E37" s="989" t="str">
        <x:f>IF('Source Data'!E32="","",'Source Data'!E32)</x:f>
      </x:c>
      <x:c r="F37" s="996" t="str">
        <x:f>IF('Source Data'!F32="","",'Source Data'!F32)</x:f>
      </x:c>
      <x:c r="G37" s="996" t="str">
        <x:f>IF('Source Data'!G32="","",'Source Data'!G32)</x:f>
      </x:c>
      <x:c r="H37" s="983" t="str">
        <x:f>IF(A37="","",'Dashboard'!$B$4)</x:f>
      </x:c>
      <x:c r="I37" s="997" t="str">
        <x:f>IF(OR(A37="",F37="Closed",E37=0),"",IF(D37="","",H37-D37))</x:f>
      </x:c>
      <x:c r="J37" s="996" t="str">
        <x:f>IF(A37="","",IF(OR(F37="Closed",E37=0),"Closed",IF(D37="","Unknown",IF(I37&lt;=0,"Current",IF(I37&lt;=30,"1-30",IF(I37&lt;=60,"31-60",IF(I37&lt;=90,"61-90","90+")))))))</x:f>
      </x:c>
      <x:c r="K37" s="996" t="str">
        <x:f>IF(A37="","",IF(AND(E37&gt;0,I37&gt;0,F37&lt;&gt;"Closed"),"Yes","No"))</x:f>
      </x:c>
      <x:c r="L37" s="996" t="str">
        <x:f>IF(A37="","",IF(E37&lt;0,"Review",IF(J37="Unknown","Review",IF(I37&gt;120,"Critical",IF(I37&gt;90,"High",IF(I37&gt;60,"Medium",IF(I37&gt;30,"Moderate",IF(I37&gt;0,"Low","Current"))))))))</x:f>
      </x:c>
      <x:c r="M37" s="962" t="str">
        <x:f>IF(A37="","",IF(E37&lt;0,"Negative balance - review credit memo",IF(AND(D37="",F37&lt;&gt;"Closed"),"Missing due date - investigate","")))</x:f>
      </x:c>
    </x:row>
    <x:row r="38">
      <x:c r="A38" s="962" t="str">
        <x:f>IF('Source Data'!A33="","",'Source Data'!A33)</x:f>
      </x:c>
      <x:c r="B38" s="962" t="str">
        <x:f>IF('Source Data'!B33="","",'Source Data'!B33)</x:f>
      </x:c>
      <x:c r="C38" s="983" t="str">
        <x:f>IF('Source Data'!C33="","",'Source Data'!C33)</x:f>
      </x:c>
      <x:c r="D38" s="983" t="str">
        <x:f>IF('Source Data'!D33="","",'Source Data'!D33)</x:f>
      </x:c>
      <x:c r="E38" s="989" t="str">
        <x:f>IF('Source Data'!E33="","",'Source Data'!E33)</x:f>
      </x:c>
      <x:c r="F38" s="996" t="str">
        <x:f>IF('Source Data'!F33="","",'Source Data'!F33)</x:f>
      </x:c>
      <x:c r="G38" s="996" t="str">
        <x:f>IF('Source Data'!G33="","",'Source Data'!G33)</x:f>
      </x:c>
      <x:c r="H38" s="983" t="str">
        <x:f>IF(A38="","",'Dashboard'!$B$4)</x:f>
      </x:c>
      <x:c r="I38" s="997" t="str">
        <x:f>IF(OR(A38="",F38="Closed",E38=0),"",IF(D38="","",H38-D38))</x:f>
      </x:c>
      <x:c r="J38" s="996" t="str">
        <x:f>IF(A38="","",IF(OR(F38="Closed",E38=0),"Closed",IF(D38="","Unknown",IF(I38&lt;=0,"Current",IF(I38&lt;=30,"1-30",IF(I38&lt;=60,"31-60",IF(I38&lt;=90,"61-90","90+")))))))</x:f>
      </x:c>
      <x:c r="K38" s="996" t="str">
        <x:f>IF(A38="","",IF(AND(E38&gt;0,I38&gt;0,F38&lt;&gt;"Closed"),"Yes","No"))</x:f>
      </x:c>
      <x:c r="L38" s="996" t="str">
        <x:f>IF(A38="","",IF(E38&lt;0,"Review",IF(J38="Unknown","Review",IF(I38&gt;120,"Critical",IF(I38&gt;90,"High",IF(I38&gt;60,"Medium",IF(I38&gt;30,"Moderate",IF(I38&gt;0,"Low","Current"))))))))</x:f>
      </x:c>
      <x:c r="M38" s="962" t="str">
        <x:f>IF(A38="","",IF(E38&lt;0,"Negative balance - review credit memo",IF(AND(D38="",F38&lt;&gt;"Closed"),"Missing due date - investigate","")))</x:f>
      </x:c>
    </x:row>
    <x:row r="39">
      <x:c r="A39" s="962" t="str">
        <x:f>IF('Source Data'!A34="","",'Source Data'!A34)</x:f>
      </x:c>
      <x:c r="B39" s="962" t="str">
        <x:f>IF('Source Data'!B34="","",'Source Data'!B34)</x:f>
      </x:c>
      <x:c r="C39" s="983" t="str">
        <x:f>IF('Source Data'!C34="","",'Source Data'!C34)</x:f>
      </x:c>
      <x:c r="D39" s="983" t="str">
        <x:f>IF('Source Data'!D34="","",'Source Data'!D34)</x:f>
      </x:c>
      <x:c r="E39" s="989" t="str">
        <x:f>IF('Source Data'!E34="","",'Source Data'!E34)</x:f>
      </x:c>
      <x:c r="F39" s="996" t="str">
        <x:f>IF('Source Data'!F34="","",'Source Data'!F34)</x:f>
      </x:c>
      <x:c r="G39" s="996" t="str">
        <x:f>IF('Source Data'!G34="","",'Source Data'!G34)</x:f>
      </x:c>
      <x:c r="H39" s="983" t="str">
        <x:f>IF(A39="","",'Dashboard'!$B$4)</x:f>
      </x:c>
      <x:c r="I39" s="997" t="str">
        <x:f>IF(OR(A39="",F39="Closed",E39=0),"",IF(D39="","",H39-D39))</x:f>
      </x:c>
      <x:c r="J39" s="996" t="str">
        <x:f>IF(A39="","",IF(OR(F39="Closed",E39=0),"Closed",IF(D39="","Unknown",IF(I39&lt;=0,"Current",IF(I39&lt;=30,"1-30",IF(I39&lt;=60,"31-60",IF(I39&lt;=90,"61-90","90+")))))))</x:f>
      </x:c>
      <x:c r="K39" s="996" t="str">
        <x:f>IF(A39="","",IF(AND(E39&gt;0,I39&gt;0,F39&lt;&gt;"Closed"),"Yes","No"))</x:f>
      </x:c>
      <x:c r="L39" s="996" t="str">
        <x:f>IF(A39="","",IF(E39&lt;0,"Review",IF(J39="Unknown","Review",IF(I39&gt;120,"Critical",IF(I39&gt;90,"High",IF(I39&gt;60,"Medium",IF(I39&gt;30,"Moderate",IF(I39&gt;0,"Low","Current"))))))))</x:f>
      </x:c>
      <x:c r="M39" s="962" t="str">
        <x:f>IF(A39="","",IF(E39&lt;0,"Negative balance - review credit memo",IF(AND(D39="",F39&lt;&gt;"Closed"),"Missing due date - investigate","")))</x:f>
      </x:c>
    </x:row>
    <x:row r="40">
      <x:c r="A40" s="962" t="str">
        <x:f>IF('Source Data'!A35="","",'Source Data'!A35)</x:f>
      </x:c>
      <x:c r="B40" s="962" t="str">
        <x:f>IF('Source Data'!B35="","",'Source Data'!B35)</x:f>
      </x:c>
      <x:c r="C40" s="983" t="str">
        <x:f>IF('Source Data'!C35="","",'Source Data'!C35)</x:f>
      </x:c>
      <x:c r="D40" s="983" t="str">
        <x:f>IF('Source Data'!D35="","",'Source Data'!D35)</x:f>
      </x:c>
      <x:c r="E40" s="989" t="str">
        <x:f>IF('Source Data'!E35="","",'Source Data'!E35)</x:f>
      </x:c>
      <x:c r="F40" s="996" t="str">
        <x:f>IF('Source Data'!F35="","",'Source Data'!F35)</x:f>
      </x:c>
      <x:c r="G40" s="996" t="str">
        <x:f>IF('Source Data'!G35="","",'Source Data'!G35)</x:f>
      </x:c>
      <x:c r="H40" s="983" t="str">
        <x:f>IF(A40="","",'Dashboard'!$B$4)</x:f>
      </x:c>
      <x:c r="I40" s="997" t="str">
        <x:f>IF(OR(A40="",F40="Closed",E40=0),"",IF(D40="","",H40-D40))</x:f>
      </x:c>
      <x:c r="J40" s="996" t="str">
        <x:f>IF(A40="","",IF(OR(F40="Closed",E40=0),"Closed",IF(D40="","Unknown",IF(I40&lt;=0,"Current",IF(I40&lt;=30,"1-30",IF(I40&lt;=60,"31-60",IF(I40&lt;=90,"61-90","90+")))))))</x:f>
      </x:c>
      <x:c r="K40" s="996" t="str">
        <x:f>IF(A40="","",IF(AND(E40&gt;0,I40&gt;0,F40&lt;&gt;"Closed"),"Yes","No"))</x:f>
      </x:c>
      <x:c r="L40" s="996" t="str">
        <x:f>IF(A40="","",IF(E40&lt;0,"Review",IF(J40="Unknown","Review",IF(I40&gt;120,"Critical",IF(I40&gt;90,"High",IF(I40&gt;60,"Medium",IF(I40&gt;30,"Moderate",IF(I40&gt;0,"Low","Current"))))))))</x:f>
      </x:c>
      <x:c r="M40" s="962" t="str">
        <x:f>IF(A40="","",IF(E40&lt;0,"Negative balance - review credit memo",IF(AND(D40="",F40&lt;&gt;"Closed"),"Missing due date - investigate","")))</x:f>
      </x:c>
    </x:row>
    <x:row r="41">
      <x:c r="A41" s="962" t="str">
        <x:f>IF('Source Data'!A36="","",'Source Data'!A36)</x:f>
      </x:c>
      <x:c r="B41" s="962" t="str">
        <x:f>IF('Source Data'!B36="","",'Source Data'!B36)</x:f>
      </x:c>
      <x:c r="C41" s="983" t="str">
        <x:f>IF('Source Data'!C36="","",'Source Data'!C36)</x:f>
      </x:c>
      <x:c r="D41" s="983" t="str">
        <x:f>IF('Source Data'!D36="","",'Source Data'!D36)</x:f>
      </x:c>
      <x:c r="E41" s="989" t="str">
        <x:f>IF('Source Data'!E36="","",'Source Data'!E36)</x:f>
      </x:c>
      <x:c r="F41" s="996" t="str">
        <x:f>IF('Source Data'!F36="","",'Source Data'!F36)</x:f>
      </x:c>
      <x:c r="G41" s="996" t="str">
        <x:f>IF('Source Data'!G36="","",'Source Data'!G36)</x:f>
      </x:c>
      <x:c r="H41" s="983" t="str">
        <x:f>IF(A41="","",'Dashboard'!$B$4)</x:f>
      </x:c>
      <x:c r="I41" s="997" t="str">
        <x:f>IF(OR(A41="",F41="Closed",E41=0),"",IF(D41="","",H41-D41))</x:f>
      </x:c>
      <x:c r="J41" s="996" t="str">
        <x:f>IF(A41="","",IF(OR(F41="Closed",E41=0),"Closed",IF(D41="","Unknown",IF(I41&lt;=0,"Current",IF(I41&lt;=30,"1-30",IF(I41&lt;=60,"31-60",IF(I41&lt;=90,"61-90","90+")))))))</x:f>
      </x:c>
      <x:c r="K41" s="996" t="str">
        <x:f>IF(A41="","",IF(AND(E41&gt;0,I41&gt;0,F41&lt;&gt;"Closed"),"Yes","No"))</x:f>
      </x:c>
      <x:c r="L41" s="996" t="str">
        <x:f>IF(A41="","",IF(E41&lt;0,"Review",IF(J41="Unknown","Review",IF(I41&gt;120,"Critical",IF(I41&gt;90,"High",IF(I41&gt;60,"Medium",IF(I41&gt;30,"Moderate",IF(I41&gt;0,"Low","Current"))))))))</x:f>
      </x:c>
      <x:c r="M41" s="962" t="str">
        <x:f>IF(A41="","",IF(E41&lt;0,"Negative balance - review credit memo",IF(AND(D41="",F41&lt;&gt;"Closed"),"Missing due date - investigate","")))</x:f>
      </x:c>
    </x:row>
    <x:row r="42">
      <x:c r="A42" s="962" t="str">
        <x:f>IF('Source Data'!A37="","",'Source Data'!A37)</x:f>
      </x:c>
      <x:c r="B42" s="962" t="str">
        <x:f>IF('Source Data'!B37="","",'Source Data'!B37)</x:f>
      </x:c>
      <x:c r="C42" s="983" t="str">
        <x:f>IF('Source Data'!C37="","",'Source Data'!C37)</x:f>
      </x:c>
      <x:c r="D42" s="983" t="str">
        <x:f>IF('Source Data'!D37="","",'Source Data'!D37)</x:f>
      </x:c>
      <x:c r="E42" s="989" t="str">
        <x:f>IF('Source Data'!E37="","",'Source Data'!E37)</x:f>
      </x:c>
      <x:c r="F42" s="996" t="str">
        <x:f>IF('Source Data'!F37="","",'Source Data'!F37)</x:f>
      </x:c>
      <x:c r="G42" s="996" t="str">
        <x:f>IF('Source Data'!G37="","",'Source Data'!G37)</x:f>
      </x:c>
      <x:c r="H42" s="983" t="str">
        <x:f>IF(A42="","",'Dashboard'!$B$4)</x:f>
      </x:c>
      <x:c r="I42" s="997" t="str">
        <x:f>IF(OR(A42="",F42="Closed",E42=0),"",IF(D42="","",H42-D42))</x:f>
      </x:c>
      <x:c r="J42" s="996" t="str">
        <x:f>IF(A42="","",IF(OR(F42="Closed",E42=0),"Closed",IF(D42="","Unknown",IF(I42&lt;=0,"Current",IF(I42&lt;=30,"1-30",IF(I42&lt;=60,"31-60",IF(I42&lt;=90,"61-90","90+")))))))</x:f>
      </x:c>
      <x:c r="K42" s="996" t="str">
        <x:f>IF(A42="","",IF(AND(E42&gt;0,I42&gt;0,F42&lt;&gt;"Closed"),"Yes","No"))</x:f>
      </x:c>
      <x:c r="L42" s="996" t="str">
        <x:f>IF(A42="","",IF(E42&lt;0,"Review",IF(J42="Unknown","Review",IF(I42&gt;120,"Critical",IF(I42&gt;90,"High",IF(I42&gt;60,"Medium",IF(I42&gt;30,"Moderate",IF(I42&gt;0,"Low","Current"))))))))</x:f>
      </x:c>
      <x:c r="M42" s="962" t="str">
        <x:f>IF(A42="","",IF(E42&lt;0,"Negative balance - review credit memo",IF(AND(D42="",F42&lt;&gt;"Closed"),"Missing due date - investigate","")))</x:f>
      </x:c>
    </x:row>
    <x:row r="43">
      <x:c r="A43" s="962" t="str">
        <x:f>IF('Source Data'!A38="","",'Source Data'!A38)</x:f>
      </x:c>
      <x:c r="B43" s="962" t="str">
        <x:f>IF('Source Data'!B38="","",'Source Data'!B38)</x:f>
      </x:c>
      <x:c r="C43" s="983" t="str">
        <x:f>IF('Source Data'!C38="","",'Source Data'!C38)</x:f>
      </x:c>
      <x:c r="D43" s="983" t="str">
        <x:f>IF('Source Data'!D38="","",'Source Data'!D38)</x:f>
      </x:c>
      <x:c r="E43" s="989" t="str">
        <x:f>IF('Source Data'!E38="","",'Source Data'!E38)</x:f>
      </x:c>
      <x:c r="F43" s="996" t="str">
        <x:f>IF('Source Data'!F38="","",'Source Data'!F38)</x:f>
      </x:c>
      <x:c r="G43" s="996" t="str">
        <x:f>IF('Source Data'!G38="","",'Source Data'!G38)</x:f>
      </x:c>
      <x:c r="H43" s="983" t="str">
        <x:f>IF(A43="","",'Dashboard'!$B$4)</x:f>
      </x:c>
      <x:c r="I43" s="997" t="str">
        <x:f>IF(OR(A43="",F43="Closed",E43=0),"",IF(D43="","",H43-D43))</x:f>
      </x:c>
      <x:c r="J43" s="996" t="str">
        <x:f>IF(A43="","",IF(OR(F43="Closed",E43=0),"Closed",IF(D43="","Unknown",IF(I43&lt;=0,"Current",IF(I43&lt;=30,"1-30",IF(I43&lt;=60,"31-60",IF(I43&lt;=90,"61-90","90+")))))))</x:f>
      </x:c>
      <x:c r="K43" s="996" t="str">
        <x:f>IF(A43="","",IF(AND(E43&gt;0,I43&gt;0,F43&lt;&gt;"Closed"),"Yes","No"))</x:f>
      </x:c>
      <x:c r="L43" s="996" t="str">
        <x:f>IF(A43="","",IF(E43&lt;0,"Review",IF(J43="Unknown","Review",IF(I43&gt;120,"Critical",IF(I43&gt;90,"High",IF(I43&gt;60,"Medium",IF(I43&gt;30,"Moderate",IF(I43&gt;0,"Low","Current"))))))))</x:f>
      </x:c>
      <x:c r="M43" s="962" t="str">
        <x:f>IF(A43="","",IF(E43&lt;0,"Negative balance - review credit memo",IF(AND(D43="",F43&lt;&gt;"Closed"),"Missing due date - investigate","")))</x:f>
      </x:c>
    </x:row>
    <x:row r="44">
      <x:c r="A44" s="962" t="str">
        <x:f>IF('Source Data'!A39="","",'Source Data'!A39)</x:f>
      </x:c>
      <x:c r="B44" s="962" t="str">
        <x:f>IF('Source Data'!B39="","",'Source Data'!B39)</x:f>
      </x:c>
      <x:c r="C44" s="983" t="str">
        <x:f>IF('Source Data'!C39="","",'Source Data'!C39)</x:f>
      </x:c>
      <x:c r="D44" s="983" t="str">
        <x:f>IF('Source Data'!D39="","",'Source Data'!D39)</x:f>
      </x:c>
      <x:c r="E44" s="989" t="str">
        <x:f>IF('Source Data'!E39="","",'Source Data'!E39)</x:f>
      </x:c>
      <x:c r="F44" s="996" t="str">
        <x:f>IF('Source Data'!F39="","",'Source Data'!F39)</x:f>
      </x:c>
      <x:c r="G44" s="996" t="str">
        <x:f>IF('Source Data'!G39="","",'Source Data'!G39)</x:f>
      </x:c>
      <x:c r="H44" s="983" t="str">
        <x:f>IF(A44="","",'Dashboard'!$B$4)</x:f>
      </x:c>
      <x:c r="I44" s="997" t="str">
        <x:f>IF(OR(A44="",F44="Closed",E44=0),"",IF(D44="","",H44-D44))</x:f>
      </x:c>
      <x:c r="J44" s="996" t="str">
        <x:f>IF(A44="","",IF(OR(F44="Closed",E44=0),"Closed",IF(D44="","Unknown",IF(I44&lt;=0,"Current",IF(I44&lt;=30,"1-30",IF(I44&lt;=60,"31-60",IF(I44&lt;=90,"61-90","90+")))))))</x:f>
      </x:c>
      <x:c r="K44" s="996" t="str">
        <x:f>IF(A44="","",IF(AND(E44&gt;0,I44&gt;0,F44&lt;&gt;"Closed"),"Yes","No"))</x:f>
      </x:c>
      <x:c r="L44" s="996" t="str">
        <x:f>IF(A44="","",IF(E44&lt;0,"Review",IF(J44="Unknown","Review",IF(I44&gt;120,"Critical",IF(I44&gt;90,"High",IF(I44&gt;60,"Medium",IF(I44&gt;30,"Moderate",IF(I44&gt;0,"Low","Current"))))))))</x:f>
      </x:c>
      <x:c r="M44" s="962" t="str">
        <x:f>IF(A44="","",IF(E44&lt;0,"Negative balance - review credit memo",IF(AND(D44="",F44&lt;&gt;"Closed"),"Missing due date - investigate","")))</x:f>
      </x:c>
    </x:row>
    <x:row r="45">
      <x:c r="A45" s="962" t="str">
        <x:f>IF('Source Data'!A40="","",'Source Data'!A40)</x:f>
      </x:c>
      <x:c r="B45" s="962" t="str">
        <x:f>IF('Source Data'!B40="","",'Source Data'!B40)</x:f>
      </x:c>
      <x:c r="C45" s="983" t="str">
        <x:f>IF('Source Data'!C40="","",'Source Data'!C40)</x:f>
      </x:c>
      <x:c r="D45" s="983" t="str">
        <x:f>IF('Source Data'!D40="","",'Source Data'!D40)</x:f>
      </x:c>
      <x:c r="E45" s="989" t="str">
        <x:f>IF('Source Data'!E40="","",'Source Data'!E40)</x:f>
      </x:c>
      <x:c r="F45" s="996" t="str">
        <x:f>IF('Source Data'!F40="","",'Source Data'!F40)</x:f>
      </x:c>
      <x:c r="G45" s="996" t="str">
        <x:f>IF('Source Data'!G40="","",'Source Data'!G40)</x:f>
      </x:c>
      <x:c r="H45" s="983" t="str">
        <x:f>IF(A45="","",'Dashboard'!$B$4)</x:f>
      </x:c>
      <x:c r="I45" s="997" t="str">
        <x:f>IF(OR(A45="",F45="Closed",E45=0),"",IF(D45="","",H45-D45))</x:f>
      </x:c>
      <x:c r="J45" s="996" t="str">
        <x:f>IF(A45="","",IF(OR(F45="Closed",E45=0),"Closed",IF(D45="","Unknown",IF(I45&lt;=0,"Current",IF(I45&lt;=30,"1-30",IF(I45&lt;=60,"31-60",IF(I45&lt;=90,"61-90","90+")))))))</x:f>
      </x:c>
      <x:c r="K45" s="996" t="str">
        <x:f>IF(A45="","",IF(AND(E45&gt;0,I45&gt;0,F45&lt;&gt;"Closed"),"Yes","No"))</x:f>
      </x:c>
      <x:c r="L45" s="996" t="str">
        <x:f>IF(A45="","",IF(E45&lt;0,"Review",IF(J45="Unknown","Review",IF(I45&gt;120,"Critical",IF(I45&gt;90,"High",IF(I45&gt;60,"Medium",IF(I45&gt;30,"Moderate",IF(I45&gt;0,"Low","Current"))))))))</x:f>
      </x:c>
      <x:c r="M45" s="962" t="str">
        <x:f>IF(A45="","",IF(E45&lt;0,"Negative balance - review credit memo",IF(AND(D45="",F45&lt;&gt;"Closed"),"Missing due date - investigate","")))</x:f>
      </x:c>
    </x:row>
    <x:row r="46">
      <x:c r="A46" s="962" t="str">
        <x:f>IF('Source Data'!A41="","",'Source Data'!A41)</x:f>
      </x:c>
      <x:c r="B46" s="962" t="str">
        <x:f>IF('Source Data'!B41="","",'Source Data'!B41)</x:f>
      </x:c>
      <x:c r="C46" s="983" t="str">
        <x:f>IF('Source Data'!C41="","",'Source Data'!C41)</x:f>
      </x:c>
      <x:c r="D46" s="983" t="str">
        <x:f>IF('Source Data'!D41="","",'Source Data'!D41)</x:f>
      </x:c>
      <x:c r="E46" s="989" t="str">
        <x:f>IF('Source Data'!E41="","",'Source Data'!E41)</x:f>
      </x:c>
      <x:c r="F46" s="996" t="str">
        <x:f>IF('Source Data'!F41="","",'Source Data'!F41)</x:f>
      </x:c>
      <x:c r="G46" s="996" t="str">
        <x:f>IF('Source Data'!G41="","",'Source Data'!G41)</x:f>
      </x:c>
      <x:c r="H46" s="983" t="str">
        <x:f>IF(A46="","",'Dashboard'!$B$4)</x:f>
      </x:c>
      <x:c r="I46" s="997" t="str">
        <x:f>IF(OR(A46="",F46="Closed",E46=0),"",IF(D46="","",H46-D46))</x:f>
      </x:c>
      <x:c r="J46" s="996" t="str">
        <x:f>IF(A46="","",IF(OR(F46="Closed",E46=0),"Closed",IF(D46="","Unknown",IF(I46&lt;=0,"Current",IF(I46&lt;=30,"1-30",IF(I46&lt;=60,"31-60",IF(I46&lt;=90,"61-90","90+")))))))</x:f>
      </x:c>
      <x:c r="K46" s="996" t="str">
        <x:f>IF(A46="","",IF(AND(E46&gt;0,I46&gt;0,F46&lt;&gt;"Closed"),"Yes","No"))</x:f>
      </x:c>
      <x:c r="L46" s="996" t="str">
        <x:f>IF(A46="","",IF(E46&lt;0,"Review",IF(J46="Unknown","Review",IF(I46&gt;120,"Critical",IF(I46&gt;90,"High",IF(I46&gt;60,"Medium",IF(I46&gt;30,"Moderate",IF(I46&gt;0,"Low","Current"))))))))</x:f>
      </x:c>
      <x:c r="M46" s="962" t="str">
        <x:f>IF(A46="","",IF(E46&lt;0,"Negative balance - review credit memo",IF(AND(D46="",F46&lt;&gt;"Closed"),"Missing due date - investigate","")))</x:f>
      </x:c>
    </x:row>
    <x:row r="47">
      <x:c r="A47" s="962" t="str">
        <x:f>IF('Source Data'!A42="","",'Source Data'!A42)</x:f>
      </x:c>
      <x:c r="B47" s="962" t="str">
        <x:f>IF('Source Data'!B42="","",'Source Data'!B42)</x:f>
      </x:c>
      <x:c r="C47" s="983" t="str">
        <x:f>IF('Source Data'!C42="","",'Source Data'!C42)</x:f>
      </x:c>
      <x:c r="D47" s="983" t="str">
        <x:f>IF('Source Data'!D42="","",'Source Data'!D42)</x:f>
      </x:c>
      <x:c r="E47" s="989" t="str">
        <x:f>IF('Source Data'!E42="","",'Source Data'!E42)</x:f>
      </x:c>
      <x:c r="F47" s="996" t="str">
        <x:f>IF('Source Data'!F42="","",'Source Data'!F42)</x:f>
      </x:c>
      <x:c r="G47" s="996" t="str">
        <x:f>IF('Source Data'!G42="","",'Source Data'!G42)</x:f>
      </x:c>
      <x:c r="H47" s="983" t="str">
        <x:f>IF(A47="","",'Dashboard'!$B$4)</x:f>
      </x:c>
      <x:c r="I47" s="997" t="str">
        <x:f>IF(OR(A47="",F47="Closed",E47=0),"",IF(D47="","",H47-D47))</x:f>
      </x:c>
      <x:c r="J47" s="996" t="str">
        <x:f>IF(A47="","",IF(OR(F47="Closed",E47=0),"Closed",IF(D47="","Unknown",IF(I47&lt;=0,"Current",IF(I47&lt;=30,"1-30",IF(I47&lt;=60,"31-60",IF(I47&lt;=90,"61-90","90+")))))))</x:f>
      </x:c>
      <x:c r="K47" s="996" t="str">
        <x:f>IF(A47="","",IF(AND(E47&gt;0,I47&gt;0,F47&lt;&gt;"Closed"),"Yes","No"))</x:f>
      </x:c>
      <x:c r="L47" s="996" t="str">
        <x:f>IF(A47="","",IF(E47&lt;0,"Review",IF(J47="Unknown","Review",IF(I47&gt;120,"Critical",IF(I47&gt;90,"High",IF(I47&gt;60,"Medium",IF(I47&gt;30,"Moderate",IF(I47&gt;0,"Low","Current"))))))))</x:f>
      </x:c>
      <x:c r="M47" s="962" t="str">
        <x:f>IF(A47="","",IF(E47&lt;0,"Negative balance - review credit memo",IF(AND(D47="",F47&lt;&gt;"Closed"),"Missing due date - investigate","")))</x:f>
      </x:c>
    </x:row>
    <x:row r="48">
      <x:c r="A48" s="962" t="str">
        <x:f>IF('Source Data'!A43="","",'Source Data'!A43)</x:f>
      </x:c>
      <x:c r="B48" s="962" t="str">
        <x:f>IF('Source Data'!B43="","",'Source Data'!B43)</x:f>
      </x:c>
      <x:c r="C48" s="983" t="str">
        <x:f>IF('Source Data'!C43="","",'Source Data'!C43)</x:f>
      </x:c>
      <x:c r="D48" s="983" t="str">
        <x:f>IF('Source Data'!D43="","",'Source Data'!D43)</x:f>
      </x:c>
      <x:c r="E48" s="989" t="str">
        <x:f>IF('Source Data'!E43="","",'Source Data'!E43)</x:f>
      </x:c>
      <x:c r="F48" s="996" t="str">
        <x:f>IF('Source Data'!F43="","",'Source Data'!F43)</x:f>
      </x:c>
      <x:c r="G48" s="996" t="str">
        <x:f>IF('Source Data'!G43="","",'Source Data'!G43)</x:f>
      </x:c>
      <x:c r="H48" s="983" t="str">
        <x:f>IF(A48="","",'Dashboard'!$B$4)</x:f>
      </x:c>
      <x:c r="I48" s="997" t="str">
        <x:f>IF(OR(A48="",F48="Closed",E48=0),"",IF(D48="","",H48-D48))</x:f>
      </x:c>
      <x:c r="J48" s="996" t="str">
        <x:f>IF(A48="","",IF(OR(F48="Closed",E48=0),"Closed",IF(D48="","Unknown",IF(I48&lt;=0,"Current",IF(I48&lt;=30,"1-30",IF(I48&lt;=60,"31-60",IF(I48&lt;=90,"61-90","90+")))))))</x:f>
      </x:c>
      <x:c r="K48" s="996" t="str">
        <x:f>IF(A48="","",IF(AND(E48&gt;0,I48&gt;0,F48&lt;&gt;"Closed"),"Yes","No"))</x:f>
      </x:c>
      <x:c r="L48" s="996" t="str">
        <x:f>IF(A48="","",IF(E48&lt;0,"Review",IF(J48="Unknown","Review",IF(I48&gt;120,"Critical",IF(I48&gt;90,"High",IF(I48&gt;60,"Medium",IF(I48&gt;30,"Moderate",IF(I48&gt;0,"Low","Current"))))))))</x:f>
      </x:c>
      <x:c r="M48" s="962" t="str">
        <x:f>IF(A48="","",IF(E48&lt;0,"Negative balance - review credit memo",IF(AND(D48="",F48&lt;&gt;"Closed"),"Missing due date - investigate","")))</x:f>
      </x:c>
    </x:row>
    <x:row r="49">
      <x:c r="A49" s="962" t="str">
        <x:f>IF('Source Data'!A44="","",'Source Data'!A44)</x:f>
      </x:c>
      <x:c r="B49" s="962" t="str">
        <x:f>IF('Source Data'!B44="","",'Source Data'!B44)</x:f>
      </x:c>
      <x:c r="C49" s="983" t="str">
        <x:f>IF('Source Data'!C44="","",'Source Data'!C44)</x:f>
      </x:c>
      <x:c r="D49" s="983" t="str">
        <x:f>IF('Source Data'!D44="","",'Source Data'!D44)</x:f>
      </x:c>
      <x:c r="E49" s="989" t="str">
        <x:f>IF('Source Data'!E44="","",'Source Data'!E44)</x:f>
      </x:c>
      <x:c r="F49" s="996" t="str">
        <x:f>IF('Source Data'!F44="","",'Source Data'!F44)</x:f>
      </x:c>
      <x:c r="G49" s="996" t="str">
        <x:f>IF('Source Data'!G44="","",'Source Data'!G44)</x:f>
      </x:c>
      <x:c r="H49" s="983" t="str">
        <x:f>IF(A49="","",'Dashboard'!$B$4)</x:f>
      </x:c>
      <x:c r="I49" s="997" t="str">
        <x:f>IF(OR(A49="",F49="Closed",E49=0),"",IF(D49="","",H49-D49))</x:f>
      </x:c>
      <x:c r="J49" s="996" t="str">
        <x:f>IF(A49="","",IF(OR(F49="Closed",E49=0),"Closed",IF(D49="","Unknown",IF(I49&lt;=0,"Current",IF(I49&lt;=30,"1-30",IF(I49&lt;=60,"31-60",IF(I49&lt;=90,"61-90","90+")))))))</x:f>
      </x:c>
      <x:c r="K49" s="996" t="str">
        <x:f>IF(A49="","",IF(AND(E49&gt;0,I49&gt;0,F49&lt;&gt;"Closed"),"Yes","No"))</x:f>
      </x:c>
      <x:c r="L49" s="996" t="str">
        <x:f>IF(A49="","",IF(E49&lt;0,"Review",IF(J49="Unknown","Review",IF(I49&gt;120,"Critical",IF(I49&gt;90,"High",IF(I49&gt;60,"Medium",IF(I49&gt;30,"Moderate",IF(I49&gt;0,"Low","Current"))))))))</x:f>
      </x:c>
      <x:c r="M49" s="962" t="str">
        <x:f>IF(A49="","",IF(E49&lt;0,"Negative balance - review credit memo",IF(AND(D49="",F49&lt;&gt;"Closed"),"Missing due date - investigate","")))</x:f>
      </x:c>
    </x:row>
    <x:row r="50">
      <x:c r="A50" s="962" t="str">
        <x:f>IF('Source Data'!A45="","",'Source Data'!A45)</x:f>
      </x:c>
      <x:c r="B50" s="962" t="str">
        <x:f>IF('Source Data'!B45="","",'Source Data'!B45)</x:f>
      </x:c>
      <x:c r="C50" s="983" t="str">
        <x:f>IF('Source Data'!C45="","",'Source Data'!C45)</x:f>
      </x:c>
      <x:c r="D50" s="983" t="str">
        <x:f>IF('Source Data'!D45="","",'Source Data'!D45)</x:f>
      </x:c>
      <x:c r="E50" s="989" t="str">
        <x:f>IF('Source Data'!E45="","",'Source Data'!E45)</x:f>
      </x:c>
      <x:c r="F50" s="996" t="str">
        <x:f>IF('Source Data'!F45="","",'Source Data'!F45)</x:f>
      </x:c>
      <x:c r="G50" s="996" t="str">
        <x:f>IF('Source Data'!G45="","",'Source Data'!G45)</x:f>
      </x:c>
      <x:c r="H50" s="983" t="str">
        <x:f>IF(A50="","",'Dashboard'!$B$4)</x:f>
      </x:c>
      <x:c r="I50" s="997" t="str">
        <x:f>IF(OR(A50="",F50="Closed",E50=0),"",IF(D50="","",H50-D50))</x:f>
      </x:c>
      <x:c r="J50" s="996" t="str">
        <x:f>IF(A50="","",IF(OR(F50="Closed",E50=0),"Closed",IF(D50="","Unknown",IF(I50&lt;=0,"Current",IF(I50&lt;=30,"1-30",IF(I50&lt;=60,"31-60",IF(I50&lt;=90,"61-90","90+")))))))</x:f>
      </x:c>
      <x:c r="K50" s="996" t="str">
        <x:f>IF(A50="","",IF(AND(E50&gt;0,I50&gt;0,F50&lt;&gt;"Closed"),"Yes","No"))</x:f>
      </x:c>
      <x:c r="L50" s="996" t="str">
        <x:f>IF(A50="","",IF(E50&lt;0,"Review",IF(J50="Unknown","Review",IF(I50&gt;120,"Critical",IF(I50&gt;90,"High",IF(I50&gt;60,"Medium",IF(I50&gt;30,"Moderate",IF(I50&gt;0,"Low","Current"))))))))</x:f>
      </x:c>
      <x:c r="M50" s="962" t="str">
        <x:f>IF(A50="","",IF(E50&lt;0,"Negative balance - review credit memo",IF(AND(D50="",F50&lt;&gt;"Closed"),"Missing due date - investigate","")))</x:f>
      </x:c>
    </x:row>
    <x:row r="51">
      <x:c r="A51" s="962" t="str">
        <x:f>IF('Source Data'!A46="","",'Source Data'!A46)</x:f>
      </x:c>
      <x:c r="B51" s="962" t="str">
        <x:f>IF('Source Data'!B46="","",'Source Data'!B46)</x:f>
      </x:c>
      <x:c r="C51" s="983" t="str">
        <x:f>IF('Source Data'!C46="","",'Source Data'!C46)</x:f>
      </x:c>
      <x:c r="D51" s="983" t="str">
        <x:f>IF('Source Data'!D46="","",'Source Data'!D46)</x:f>
      </x:c>
      <x:c r="E51" s="989" t="str">
        <x:f>IF('Source Data'!E46="","",'Source Data'!E46)</x:f>
      </x:c>
      <x:c r="F51" s="996" t="str">
        <x:f>IF('Source Data'!F46="","",'Source Data'!F46)</x:f>
      </x:c>
      <x:c r="G51" s="996" t="str">
        <x:f>IF('Source Data'!G46="","",'Source Data'!G46)</x:f>
      </x:c>
      <x:c r="H51" s="983" t="str">
        <x:f>IF(A51="","",'Dashboard'!$B$4)</x:f>
      </x:c>
      <x:c r="I51" s="997" t="str">
        <x:f>IF(OR(A51="",F51="Closed",E51=0),"",IF(D51="","",H51-D51))</x:f>
      </x:c>
      <x:c r="J51" s="996" t="str">
        <x:f>IF(A51="","",IF(OR(F51="Closed",E51=0),"Closed",IF(D51="","Unknown",IF(I51&lt;=0,"Current",IF(I51&lt;=30,"1-30",IF(I51&lt;=60,"31-60",IF(I51&lt;=90,"61-90","90+")))))))</x:f>
      </x:c>
      <x:c r="K51" s="996" t="str">
        <x:f>IF(A51="","",IF(AND(E51&gt;0,I51&gt;0,F51&lt;&gt;"Closed"),"Yes","No"))</x:f>
      </x:c>
      <x:c r="L51" s="996" t="str">
        <x:f>IF(A51="","",IF(E51&lt;0,"Review",IF(J51="Unknown","Review",IF(I51&gt;120,"Critical",IF(I51&gt;90,"High",IF(I51&gt;60,"Medium",IF(I51&gt;30,"Moderate",IF(I51&gt;0,"Low","Current"))))))))</x:f>
      </x:c>
      <x:c r="M51" s="962" t="str">
        <x:f>IF(A51="","",IF(E51&lt;0,"Negative balance - review credit memo",IF(AND(D51="",F51&lt;&gt;"Closed"),"Missing due date - investigate","")))</x:f>
      </x:c>
    </x:row>
    <x:row r="52">
      <x:c r="A52" s="962" t="str">
        <x:f>IF('Source Data'!A47="","",'Source Data'!A47)</x:f>
      </x:c>
      <x:c r="B52" s="962" t="str">
        <x:f>IF('Source Data'!B47="","",'Source Data'!B47)</x:f>
      </x:c>
      <x:c r="C52" s="983" t="str">
        <x:f>IF('Source Data'!C47="","",'Source Data'!C47)</x:f>
      </x:c>
      <x:c r="D52" s="983" t="str">
        <x:f>IF('Source Data'!D47="","",'Source Data'!D47)</x:f>
      </x:c>
      <x:c r="E52" s="989" t="str">
        <x:f>IF('Source Data'!E47="","",'Source Data'!E47)</x:f>
      </x:c>
      <x:c r="F52" s="996" t="str">
        <x:f>IF('Source Data'!F47="","",'Source Data'!F47)</x:f>
      </x:c>
      <x:c r="G52" s="996" t="str">
        <x:f>IF('Source Data'!G47="","",'Source Data'!G47)</x:f>
      </x:c>
      <x:c r="H52" s="983" t="str">
        <x:f>IF(A52="","",'Dashboard'!$B$4)</x:f>
      </x:c>
      <x:c r="I52" s="997" t="str">
        <x:f>IF(OR(A52="",F52="Closed",E52=0),"",IF(D52="","",H52-D52))</x:f>
      </x:c>
      <x:c r="J52" s="996" t="str">
        <x:f>IF(A52="","",IF(OR(F52="Closed",E52=0),"Closed",IF(D52="","Unknown",IF(I52&lt;=0,"Current",IF(I52&lt;=30,"1-30",IF(I52&lt;=60,"31-60",IF(I52&lt;=90,"61-90","90+")))))))</x:f>
      </x:c>
      <x:c r="K52" s="996" t="str">
        <x:f>IF(A52="","",IF(AND(E52&gt;0,I52&gt;0,F52&lt;&gt;"Closed"),"Yes","No"))</x:f>
      </x:c>
      <x:c r="L52" s="996" t="str">
        <x:f>IF(A52="","",IF(E52&lt;0,"Review",IF(J52="Unknown","Review",IF(I52&gt;120,"Critical",IF(I52&gt;90,"High",IF(I52&gt;60,"Medium",IF(I52&gt;30,"Moderate",IF(I52&gt;0,"Low","Current"))))))))</x:f>
      </x:c>
      <x:c r="M52" s="962" t="str">
        <x:f>IF(A52="","",IF(E52&lt;0,"Negative balance - review credit memo",IF(AND(D52="",F52&lt;&gt;"Closed"),"Missing due date - investigate","")))</x:f>
      </x:c>
    </x:row>
    <x:row r="53">
      <x:c r="A53" s="962" t="str">
        <x:f>IF('Source Data'!A48="","",'Source Data'!A48)</x:f>
      </x:c>
      <x:c r="B53" s="962" t="str">
        <x:f>IF('Source Data'!B48="","",'Source Data'!B48)</x:f>
      </x:c>
      <x:c r="C53" s="983" t="str">
        <x:f>IF('Source Data'!C48="","",'Source Data'!C48)</x:f>
      </x:c>
      <x:c r="D53" s="983" t="str">
        <x:f>IF('Source Data'!D48="","",'Source Data'!D48)</x:f>
      </x:c>
      <x:c r="E53" s="989" t="str">
        <x:f>IF('Source Data'!E48="","",'Source Data'!E48)</x:f>
      </x:c>
      <x:c r="F53" s="996" t="str">
        <x:f>IF('Source Data'!F48="","",'Source Data'!F48)</x:f>
      </x:c>
      <x:c r="G53" s="996" t="str">
        <x:f>IF('Source Data'!G48="","",'Source Data'!G48)</x:f>
      </x:c>
      <x:c r="H53" s="983" t="str">
        <x:f>IF(A53="","",'Dashboard'!$B$4)</x:f>
      </x:c>
      <x:c r="I53" s="997" t="str">
        <x:f>IF(OR(A53="",F53="Closed",E53=0),"",IF(D53="","",H53-D53))</x:f>
      </x:c>
      <x:c r="J53" s="996" t="str">
        <x:f>IF(A53="","",IF(OR(F53="Closed",E53=0),"Closed",IF(D53="","Unknown",IF(I53&lt;=0,"Current",IF(I53&lt;=30,"1-30",IF(I53&lt;=60,"31-60",IF(I53&lt;=90,"61-90","90+")))))))</x:f>
      </x:c>
      <x:c r="K53" s="996" t="str">
        <x:f>IF(A53="","",IF(AND(E53&gt;0,I53&gt;0,F53&lt;&gt;"Closed"),"Yes","No"))</x:f>
      </x:c>
      <x:c r="L53" s="996" t="str">
        <x:f>IF(A53="","",IF(E53&lt;0,"Review",IF(J53="Unknown","Review",IF(I53&gt;120,"Critical",IF(I53&gt;90,"High",IF(I53&gt;60,"Medium",IF(I53&gt;30,"Moderate",IF(I53&gt;0,"Low","Current"))))))))</x:f>
      </x:c>
      <x:c r="M53" s="962" t="str">
        <x:f>IF(A53="","",IF(E53&lt;0,"Negative balance - review credit memo",IF(AND(D53="",F53&lt;&gt;"Closed"),"Missing due date - investigate","")))</x:f>
      </x:c>
    </x:row>
    <x:row r="54">
      <x:c r="A54" s="962" t="str">
        <x:f>IF('Source Data'!A49="","",'Source Data'!A49)</x:f>
      </x:c>
      <x:c r="B54" s="962" t="str">
        <x:f>IF('Source Data'!B49="","",'Source Data'!B49)</x:f>
      </x:c>
      <x:c r="C54" s="983" t="str">
        <x:f>IF('Source Data'!C49="","",'Source Data'!C49)</x:f>
      </x:c>
      <x:c r="D54" s="983" t="str">
        <x:f>IF('Source Data'!D49="","",'Source Data'!D49)</x:f>
      </x:c>
      <x:c r="E54" s="989" t="str">
        <x:f>IF('Source Data'!E49="","",'Source Data'!E49)</x:f>
      </x:c>
      <x:c r="F54" s="996" t="str">
        <x:f>IF('Source Data'!F49="","",'Source Data'!F49)</x:f>
      </x:c>
      <x:c r="G54" s="996" t="str">
        <x:f>IF('Source Data'!G49="","",'Source Data'!G49)</x:f>
      </x:c>
      <x:c r="H54" s="983" t="str">
        <x:f>IF(A54="","",'Dashboard'!$B$4)</x:f>
      </x:c>
      <x:c r="I54" s="997" t="str">
        <x:f>IF(OR(A54="",F54="Closed",E54=0),"",IF(D54="","",H54-D54))</x:f>
      </x:c>
      <x:c r="J54" s="996" t="str">
        <x:f>IF(A54="","",IF(OR(F54="Closed",E54=0),"Closed",IF(D54="","Unknown",IF(I54&lt;=0,"Current",IF(I54&lt;=30,"1-30",IF(I54&lt;=60,"31-60",IF(I54&lt;=90,"61-90","90+")))))))</x:f>
      </x:c>
      <x:c r="K54" s="996" t="str">
        <x:f>IF(A54="","",IF(AND(E54&gt;0,I54&gt;0,F54&lt;&gt;"Closed"),"Yes","No"))</x:f>
      </x:c>
      <x:c r="L54" s="996" t="str">
        <x:f>IF(A54="","",IF(E54&lt;0,"Review",IF(J54="Unknown","Review",IF(I54&gt;120,"Critical",IF(I54&gt;90,"High",IF(I54&gt;60,"Medium",IF(I54&gt;30,"Moderate",IF(I54&gt;0,"Low","Current"))))))))</x:f>
      </x:c>
      <x:c r="M54" s="962" t="str">
        <x:f>IF(A54="","",IF(E54&lt;0,"Negative balance - review credit memo",IF(AND(D54="",F54&lt;&gt;"Closed"),"Missing due date - investigate","")))</x:f>
      </x:c>
    </x:row>
    <x:row r="55">
      <x:c r="A55" s="962" t="str">
        <x:f>IF('Source Data'!A50="","",'Source Data'!A50)</x:f>
      </x:c>
      <x:c r="B55" s="962" t="str">
        <x:f>IF('Source Data'!B50="","",'Source Data'!B50)</x:f>
      </x:c>
      <x:c r="C55" s="983" t="str">
        <x:f>IF('Source Data'!C50="","",'Source Data'!C50)</x:f>
      </x:c>
      <x:c r="D55" s="983" t="str">
        <x:f>IF('Source Data'!D50="","",'Source Data'!D50)</x:f>
      </x:c>
      <x:c r="E55" s="989" t="str">
        <x:f>IF('Source Data'!E50="","",'Source Data'!E50)</x:f>
      </x:c>
      <x:c r="F55" s="996" t="str">
        <x:f>IF('Source Data'!F50="","",'Source Data'!F50)</x:f>
      </x:c>
      <x:c r="G55" s="996" t="str">
        <x:f>IF('Source Data'!G50="","",'Source Data'!G50)</x:f>
      </x:c>
      <x:c r="H55" s="983" t="str">
        <x:f>IF(A55="","",'Dashboard'!$B$4)</x:f>
      </x:c>
      <x:c r="I55" s="997" t="str">
        <x:f>IF(OR(A55="",F55="Closed",E55=0),"",IF(D55="","",H55-D55))</x:f>
      </x:c>
      <x:c r="J55" s="996" t="str">
        <x:f>IF(A55="","",IF(OR(F55="Closed",E55=0),"Closed",IF(D55="","Unknown",IF(I55&lt;=0,"Current",IF(I55&lt;=30,"1-30",IF(I55&lt;=60,"31-60",IF(I55&lt;=90,"61-90","90+")))))))</x:f>
      </x:c>
      <x:c r="K55" s="996" t="str">
        <x:f>IF(A55="","",IF(AND(E55&gt;0,I55&gt;0,F55&lt;&gt;"Closed"),"Yes","No"))</x:f>
      </x:c>
      <x:c r="L55" s="996" t="str">
        <x:f>IF(A55="","",IF(E55&lt;0,"Review",IF(J55="Unknown","Review",IF(I55&gt;120,"Critical",IF(I55&gt;90,"High",IF(I55&gt;60,"Medium",IF(I55&gt;30,"Moderate",IF(I55&gt;0,"Low","Current"))))))))</x:f>
      </x:c>
      <x:c r="M55" s="962" t="str">
        <x:f>IF(A55="","",IF(E55&lt;0,"Negative balance - review credit memo",IF(AND(D55="",F55&lt;&gt;"Closed"),"Missing due date - investigate","")))</x:f>
      </x:c>
    </x:row>
    <x:row r="56">
      <x:c r="A56" s="966" t="str">
        <x:f>IF('Source Data'!A51="","",'Source Data'!A51)</x:f>
      </x:c>
      <x:c r="B56" s="966" t="str">
        <x:f>IF('Source Data'!B51="","",'Source Data'!B51)</x:f>
      </x:c>
      <x:c r="C56" s="984" t="str">
        <x:f>IF('Source Data'!C51="","",'Source Data'!C51)</x:f>
      </x:c>
      <x:c r="D56" s="984" t="str">
        <x:f>IF('Source Data'!D51="","",'Source Data'!D51)</x:f>
      </x:c>
      <x:c r="E56" s="990" t="str">
        <x:f>IF('Source Data'!E51="","",'Source Data'!E51)</x:f>
      </x:c>
      <x:c r="F56" s="998" t="str">
        <x:f>IF('Source Data'!F51="","",'Source Data'!F51)</x:f>
      </x:c>
      <x:c r="G56" s="998" t="str">
        <x:f>IF('Source Data'!G51="","",'Source Data'!G51)</x:f>
      </x:c>
      <x:c r="H56" s="984" t="str">
        <x:f>IF(A56="","",'Dashboard'!$B$4)</x:f>
      </x:c>
      <x:c r="I56" s="999" t="str">
        <x:f>IF(OR(A56="",F56="Closed",E56=0),"",IF(D56="","",H56-D56))</x:f>
      </x:c>
      <x:c r="J56" s="998" t="str">
        <x:f>IF(A56="","",IF(OR(F56="Closed",E56=0),"Closed",IF(D56="","Unknown",IF(I56&lt;=0,"Current",IF(I56&lt;=30,"1-30",IF(I56&lt;=60,"31-60",IF(I56&lt;=90,"61-90","90+")))))))</x:f>
      </x:c>
      <x:c r="K56" s="998" t="str">
        <x:f>IF(A56="","",IF(AND(E56&gt;0,I56&gt;0,F56&lt;&gt;"Closed"),"Yes","No"))</x:f>
      </x:c>
      <x:c r="L56" s="998" t="str">
        <x:f>IF(A56="","",IF(E56&lt;0,"Review",IF(J56="Unknown","Review",IF(I56&gt;120,"Critical",IF(I56&gt;90,"High",IF(I56&gt;60,"Medium",IF(I56&gt;30,"Moderate",IF(I56&gt;0,"Low","Current"))))))))</x:f>
      </x:c>
      <x:c r="M56" s="966" t="str">
        <x:f>IF(A56="","",IF(E56&lt;0,"Negative balance - review credit memo",IF(AND(D56="",F56&lt;&gt;"Closed"),"Missing due date - investigate","")))</x:f>
      </x:c>
    </x:row>
  </x:sheetData>
  <x:mergeCells>
    <x:mergeCell ref="A1:M2"/>
    <x:mergeCell ref="A3:M3"/>
    <x:mergeCell ref="A4:M4"/>
  </x:mergeCells>
  <x:conditionalFormatting sqref="J7:J56">
    <x:cfRule type="containsText" dxfId="2" priority="1" operator="containsText" text="90+"/>
    <x:cfRule type="containsText" dxfId="3" priority="2" operator="containsText" text="Unknown"/>
  </x:conditionalFormatting>
  <x:conditionalFormatting sqref="L7:L56">
    <x:cfRule type="containsText" dxfId="4" priority="3" operator="containsText" text="Critical"/>
    <x:cfRule type="containsText" dxfId="5" priority="4" operator="containsText" text="Review"/>
  </x:conditionalFormatting>
  <x:conditionalFormatting sqref="M7:M56">
    <x:cfRule type="expression" dxfId="6" priority="5">
      <x:formula>$M7&lt;&gt;""</x:formula>
    </x:cfRule>
  </x:conditionalFormatting>
  <x:conditionalFormatting sqref="E7:E56">
    <x:cfRule type="cellIs" dxfId="7" priority="6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4ea0a62fc4e4d6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3" hidden="0" customWidth="1"/>
    <x:col min="3" max="3" width="15" hidden="0" customWidth="1"/>
    <x:col min="4" max="4" width="15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1" hidden="0" customWidth="1"/>
    <x:col min="12" max="12" width="14" hidden="0" customWidth="1"/>
    <x:col min="13" max="13" width="20" hidden="0" customWidth="1"/>
  </x:cols>
  <x:sheetData>
    <x:row r="1">
      <x:c r="A1" s="70" t="str">
        <x:v>Customer Aging Summary</x:v>
      </x:c>
      <x:c r="B1" s="70" t="str">
        <x:v>Customer Aging Summary</x:v>
      </x:c>
      <x:c r="C1" s="70" t="str">
        <x:v>Customer Aging Summary</x:v>
      </x:c>
      <x:c r="D1" s="70" t="str">
        <x:v>Customer Aging Summary</x:v>
      </x:c>
      <x:c r="E1" s="70" t="str">
        <x:v>Customer Aging Summary</x:v>
      </x:c>
      <x:c r="F1" s="70" t="str">
        <x:v>Customer Aging Summary</x:v>
      </x:c>
      <x:c r="G1" s="70" t="str">
        <x:v>Customer Aging Summary</x:v>
      </x:c>
      <x:c r="H1" s="70" t="str">
        <x:v>Customer Aging Summary</x:v>
      </x:c>
      <x:c r="I1" s="70" t="str">
        <x:v>Customer Aging Summary</x:v>
      </x:c>
      <x:c r="J1" s="70" t="str">
        <x:v>Customer Aging Summary</x:v>
      </x:c>
      <x:c r="K1" s="70" t="str">
        <x:v>Customer Aging Summary</x:v>
      </x:c>
      <x:c r="L1" s="70" t="str">
        <x:v>Customer Aging Summary</x:v>
      </x:c>
      <x:c r="M1" s="70" t="str">
        <x:v>Customer Aging Summary</x:v>
      </x:c>
    </x:row>
    <x:row r="2">
      <x:c r="A2" s="70" t="str">
        <x:v>Customer Aging Summary</x:v>
      </x:c>
      <x:c r="B2" s="70" t="str">
        <x:v>Customer Aging Summary</x:v>
      </x:c>
      <x:c r="C2" s="70" t="str">
        <x:v>Customer Aging Summary</x:v>
      </x:c>
      <x:c r="D2" s="70" t="str">
        <x:v>Customer Aging Summary</x:v>
      </x:c>
      <x:c r="E2" s="70" t="str">
        <x:v>Customer Aging Summary</x:v>
      </x:c>
      <x:c r="F2" s="70" t="str">
        <x:v>Customer Aging Summary</x:v>
      </x:c>
      <x:c r="G2" s="70" t="str">
        <x:v>Customer Aging Summary</x:v>
      </x:c>
      <x:c r="H2" s="70" t="str">
        <x:v>Customer Aging Summary</x:v>
      </x:c>
      <x:c r="I2" s="70" t="str">
        <x:v>Customer Aging Summary</x:v>
      </x:c>
      <x:c r="J2" s="70" t="str">
        <x:v>Customer Aging Summary</x:v>
      </x:c>
      <x:c r="K2" s="70" t="str">
        <x:v>Customer Aging Summary</x:v>
      </x:c>
      <x:c r="L2" s="70" t="str">
        <x:v>Customer Aging Summary</x:v>
      </x:c>
      <x:c r="M2" s="70" t="str">
        <x:v>Customer Aging Summary</x:v>
      </x:c>
    </x:row>
    <x:row r="3">
      <x:c r="A3" s="76" t="str">
        <x:v>Customer-level exposure, aging mix, concentration, and collection priority linked to Invoice Detail</x:v>
      </x:c>
      <x:c r="B3" s="76" t="str">
        <x:v>Customer-level exposure, aging mix, concentration, and collection priority linked to Invoice Detail</x:v>
      </x:c>
      <x:c r="C3" s="76" t="str">
        <x:v>Customer-level exposure, aging mix, concentration, and collection priority linked to Invoice Detail</x:v>
      </x:c>
      <x:c r="D3" s="76" t="str">
        <x:v>Customer-level exposure, aging mix, concentration, and collection priority linked to Invoice Detail</x:v>
      </x:c>
      <x:c r="E3" s="76" t="str">
        <x:v>Customer-level exposure, aging mix, concentration, and collection priority linked to Invoice Detail</x:v>
      </x:c>
      <x:c r="F3" s="76" t="str">
        <x:v>Customer-level exposure, aging mix, concentration, and collection priority linked to Invoice Detail</x:v>
      </x:c>
      <x:c r="G3" s="76" t="str">
        <x:v>Customer-level exposure, aging mix, concentration, and collection priority linked to Invoice Detail</x:v>
      </x:c>
      <x:c r="H3" s="76" t="str">
        <x:v>Customer-level exposure, aging mix, concentration, and collection priority linked to Invoice Detail</x:v>
      </x:c>
      <x:c r="I3" s="76" t="str">
        <x:v>Customer-level exposure, aging mix, concentration, and collection priority linked to Invoice Detail</x:v>
      </x:c>
      <x:c r="J3" s="76" t="str">
        <x:v>Customer-level exposure, aging mix, concentration, and collection priority linked to Invoice Detail</x:v>
      </x:c>
      <x:c r="K3" s="76" t="str">
        <x:v>Customer-level exposure, aging mix, concentration, and collection priority linked to Invoice Detail</x:v>
      </x:c>
      <x:c r="L3" s="76" t="str">
        <x:v>Customer-level exposure, aging mix, concentration, and collection priority linked to Invoice Detail</x:v>
      </x:c>
      <x:c r="M3" s="76" t="str">
        <x:v>Customer-level exposure, aging mix, concentration, and collection priority linked to Invoice Detail</x:v>
      </x:c>
    </x:row>
    <x:row r="4">
      <x:c r="A4" s="1008" t="str">
        <x:v>Existing customers are listed in descending total exposure. Add a customer name to a blank row to activate the prefilled formulas.</x:v>
      </x:c>
      <x:c r="B4" s="1008" t="str">
        <x:v>Existing customers are listed in descending total exposure. Add a customer name to a blank row to activate the prefilled formulas.</x:v>
      </x:c>
      <x:c r="C4" s="1008" t="str">
        <x:v>Existing customers are listed in descending total exposure. Add a customer name to a blank row to activate the prefilled formulas.</x:v>
      </x:c>
      <x:c r="D4" s="1008" t="str">
        <x:v>Existing customers are listed in descending total exposure. Add a customer name to a blank row to activate the prefilled formulas.</x:v>
      </x:c>
      <x:c r="E4" s="1008" t="str">
        <x:v>Existing customers are listed in descending total exposure. Add a customer name to a blank row to activate the prefilled formulas.</x:v>
      </x:c>
      <x:c r="F4" s="1008" t="str">
        <x:v>Existing customers are listed in descending total exposure. Add a customer name to a blank row to activate the prefilled formulas.</x:v>
      </x:c>
      <x:c r="G4" s="1008" t="str">
        <x:v>Existing customers are listed in descending total exposure. Add a customer name to a blank row to activate the prefilled formulas.</x:v>
      </x:c>
      <x:c r="H4" s="1008" t="str">
        <x:v>Existing customers are listed in descending total exposure. Add a customer name to a blank row to activate the prefilled formulas.</x:v>
      </x:c>
      <x:c r="I4" s="1008" t="str">
        <x:v>Existing customers are listed in descending total exposure. Add a customer name to a blank row to activate the prefilled formulas.</x:v>
      </x:c>
      <x:c r="J4" s="1008" t="str">
        <x:v>Existing customers are listed in descending total exposure. Add a customer name to a blank row to activate the prefilled formulas.</x:v>
      </x:c>
      <x:c r="K4" s="1008" t="str">
        <x:v>Existing customers are listed in descending total exposure. Add a customer name to a blank row to activate the prefilled formulas.</x:v>
      </x:c>
      <x:c r="L4" s="1008" t="str">
        <x:v>Existing customers are listed in descending total exposure. Add a customer name to a blank row to activate the prefilled formulas.</x:v>
      </x:c>
      <x:c r="M4" s="1008" t="str">
        <x:v>Existing customers are listed in descending total exposure. Add a customer name to a blank row to activate the prefilled formulas.</x:v>
      </x:c>
    </x:row>
    <x:row r="6">
      <x:c r="A6" s="10" t="str">
        <x:v>Customer</x:v>
      </x:c>
      <x:c r="B6" s="10" t="str">
        <x:v>Invoice Count</x:v>
      </x:c>
      <x:c r="C6" s="10" t="str">
        <x:v>Total AR</x:v>
      </x:c>
      <x:c r="D6" s="10" t="str">
        <x:v>Overdue AR</x:v>
      </x:c>
      <x:c r="E6" s="10" t="str">
        <x:v>Current</x:v>
      </x:c>
      <x:c r="F6" s="10" t="str">
        <x:v>1-30</x:v>
      </x:c>
      <x:c r="G6" s="10" t="str">
        <x:v>31-60</x:v>
      </x:c>
      <x:c r="H6" s="10" t="str">
        <x:v>61-90</x:v>
      </x:c>
      <x:c r="I6" s="10" t="str">
        <x:v>90+</x:v>
      </x:c>
      <x:c r="J6" s="10" t="str">
        <x:v>Unknown</x:v>
      </x:c>
      <x:c r="K6" s="10" t="str">
        <x:v>Max DPD</x:v>
      </x:c>
      <x:c r="L6" s="10" t="str">
        <x:v>% Positive AR</x:v>
      </x:c>
      <x:c r="M6" s="10" t="str">
        <x:v>Collection Priority</x:v>
      </x:c>
    </x:row>
    <x:row r="7">
      <x:c r="A7" s="12" t="str">
        <x:v>Gulf Coast Manufacturing</x:v>
      </x:c>
      <x:c r="B7" s="12" t="n">
        <x:f>IF(A7="","",COUNTIFS('Invoice Detail'!$A$7:$A$56,A7,'Invoice Detail'!$F$7:$F$56,"&lt;&gt;Closed"))</x:f>
        <x:v>1</x:v>
      </x:c>
      <x:c r="C7" s="24" t="n">
        <x:f>IF(A7="","",SUMIFS('Invoice Detail'!$E$7:$E$56,'Invoice Detail'!$A$7:$A$56,A7,'Invoice Detail'!$F$7:$F$56,"&lt;&gt;Closed"))</x:f>
        <x:v>59200</x:v>
      </x:c>
      <x:c r="D7" s="24" t="n">
        <x:f>IF(A7="","",SUMIFS('Invoice Detail'!$E$7:$E$56,'Invoice Detail'!$A$7:$A$56,A7,'Invoice Detail'!$K$7:$K$56,"Yes"))</x:f>
        <x:v>59200</x:v>
      </x:c>
      <x:c r="E7" s="24" t="n">
        <x:f>IF(A7="","",SUMIFS('Invoice Detail'!$E$7:$E$56,'Invoice Detail'!$A$7:$A$56,A7,'Invoice Detail'!$J$7:$J$56,"Current"))</x:f>
        <x:v>0</x:v>
      </x:c>
      <x:c r="F7" s="24" t="n">
        <x:f>IF(A7="","",SUMIFS('Invoice Detail'!$E$7:$E$56,'Invoice Detail'!$A$7:$A$56,A7,'Invoice Detail'!$J$7:$J$56,"1-30"))</x:f>
        <x:v>0</x:v>
      </x:c>
      <x:c r="G7" s="24" t="n">
        <x:f>IF(A7="","",SUMIFS('Invoice Detail'!$E$7:$E$56,'Invoice Detail'!$A$7:$A$56,A7,'Invoice Detail'!$J$7:$J$56,"31-60"))</x:f>
        <x:v>0</x:v>
      </x:c>
      <x:c r="H7" s="24" t="n">
        <x:f>IF(A7="","",SUMIFS('Invoice Detail'!$E$7:$E$56,'Invoice Detail'!$A$7:$A$56,A7,'Invoice Detail'!$J$7:$J$56,"61-90"))</x:f>
        <x:v>0</x:v>
      </x:c>
      <x:c r="I7" s="24" t="n">
        <x:f>IF(A7="","",SUMIFS('Invoice Detail'!$E$7:$E$56,'Invoice Detail'!$A$7:$A$56,A7,'Invoice Detail'!$J$7:$J$56,"90+"))</x:f>
        <x:v>59200</x:v>
      </x:c>
      <x:c r="J7" s="24" t="n">
        <x:f>IF(A7="","",SUMIFS('Invoice Detail'!$E$7:$E$56,'Invoice Detail'!$A$7:$A$56,A7,'Invoice Detail'!$J$7:$J$56,"Unknown"))</x:f>
        <x:v>0</x:v>
      </x:c>
      <x:c r="K7" s="1012" t="n">
        <x:f>IF(A7="","",IF(J7&gt;0,"N/A",MAXIFS('Invoice Detail'!$I$7:$I$56,'Invoice Detail'!$A$7:$A$56,A7)))</x:f>
        <x:v>194</x:v>
      </x:c>
      <x:c r="L7" s="1013" t="n">
        <x:f>IF(A7="","",IFERROR(MAX(0,C7)/'Dashboard'!$E$7,0))</x:f>
        <x:v>0.18855004379329565</x:v>
      </x:c>
      <x:c r="M7" s="12" t="str">
        <x:f>IF(A7="","",IF(C7&lt;0,"Review credit",IF(J7&gt;0,"Investigate date",IF(I7&gt;0,"Escalate",IF(H7&gt;0,"High",IF(G7&gt;0,"Medium",IF(F7&gt;0,"Routine","Current")))))))</x:f>
        <x:v>Escalate</x:v>
      </x:c>
    </x:row>
    <x:row r="8">
      <x:c r="A8" s="13" t="str">
        <x:v>Delta Municipal Services</x:v>
      </x:c>
      <x:c r="B8" s="13" t="n">
        <x:f>IF(A8="","",COUNTIFS('Invoice Detail'!$A$7:$A$56,A8,'Invoice Detail'!$F$7:$F$56,"&lt;&gt;Closed"))</x:f>
        <x:v>1</x:v>
      </x:c>
      <x:c r="C8" s="25" t="n">
        <x:f>IF(A8="","",SUMIFS('Invoice Detail'!$E$7:$E$56,'Invoice Detail'!$A$7:$A$56,A8,'Invoice Detail'!$F$7:$F$56,"&lt;&gt;Closed"))</x:f>
        <x:v>48120</x:v>
      </x:c>
      <x:c r="D8" s="25" t="n">
        <x:f>IF(A8="","",SUMIFS('Invoice Detail'!$E$7:$E$56,'Invoice Detail'!$A$7:$A$56,A8,'Invoice Detail'!$K$7:$K$56,"Yes"))</x:f>
        <x:v>48120</x:v>
      </x:c>
      <x:c r="E8" s="25" t="n">
        <x:f>IF(A8="","",SUMIFS('Invoice Detail'!$E$7:$E$56,'Invoice Detail'!$A$7:$A$56,A8,'Invoice Detail'!$J$7:$J$56,"Current"))</x:f>
        <x:v>0</x:v>
      </x:c>
      <x:c r="F8" s="25" t="n">
        <x:f>IF(A8="","",SUMIFS('Invoice Detail'!$E$7:$E$56,'Invoice Detail'!$A$7:$A$56,A8,'Invoice Detail'!$J$7:$J$56,"1-30"))</x:f>
        <x:v>0</x:v>
      </x:c>
      <x:c r="G8" s="25" t="n">
        <x:f>IF(A8="","",SUMIFS('Invoice Detail'!$E$7:$E$56,'Invoice Detail'!$A$7:$A$56,A8,'Invoice Detail'!$J$7:$J$56,"31-60"))</x:f>
        <x:v>0</x:v>
      </x:c>
      <x:c r="H8" s="25" t="n">
        <x:f>IF(A8="","",SUMIFS('Invoice Detail'!$E$7:$E$56,'Invoice Detail'!$A$7:$A$56,A8,'Invoice Detail'!$J$7:$J$56,"61-90"))</x:f>
        <x:v>0</x:v>
      </x:c>
      <x:c r="I8" s="25" t="n">
        <x:f>IF(A8="","",SUMIFS('Invoice Detail'!$E$7:$E$56,'Invoice Detail'!$A$7:$A$56,A8,'Invoice Detail'!$J$7:$J$56,"90+"))</x:f>
        <x:v>48120</x:v>
      </x:c>
      <x:c r="J8" s="25" t="n">
        <x:f>IF(A8="","",SUMIFS('Invoice Detail'!$E$7:$E$56,'Invoice Detail'!$A$7:$A$56,A8,'Invoice Detail'!$J$7:$J$56,"Unknown"))</x:f>
        <x:v>0</x:v>
      </x:c>
      <x:c r="K8" s="1014" t="n">
        <x:f>IF(A8="","",IF(J8&gt;0,"N/A",MAXIFS('Invoice Detail'!$I$7:$I$56,'Invoice Detail'!$A$7:$A$56,A8)))</x:f>
        <x:v>162</x:v>
      </x:c>
      <x:c r="L8" s="1015" t="n">
        <x:f>IF(A8="","",IFERROR(MAX(0,C8)/'Dashboard'!$E$7,0))</x:f>
        <x:v>0.15326060992117208</x:v>
      </x:c>
      <x:c r="M8" s="13" t="str">
        <x:f>IF(A8="","",IF(C8&lt;0,"Review credit",IF(J8&gt;0,"Investigate date",IF(I8&gt;0,"Escalate",IF(H8&gt;0,"High",IF(G8&gt;0,"Medium",IF(F8&gt;0,"Routine","Current")))))))</x:f>
        <x:v>Escalate</x:v>
      </x:c>
    </x:row>
    <x:row r="9">
      <x:c r="A9" s="13" t="str">
        <x:v>Acadia Health Partners</x:v>
      </x:c>
      <x:c r="B9" s="13" t="n">
        <x:f>IF(A9="","",COUNTIFS('Invoice Detail'!$A$7:$A$56,A9,'Invoice Detail'!$F$7:$F$56,"&lt;&gt;Closed"))</x:f>
        <x:v>2</x:v>
      </x:c>
      <x:c r="C9" s="25" t="n">
        <x:f>IF(A9="","",SUMIFS('Invoice Detail'!$E$7:$E$56,'Invoice Detail'!$A$7:$A$56,A9,'Invoice Detail'!$F$7:$F$56,"&lt;&gt;Closed"))</x:f>
        <x:v>40650</x:v>
      </x:c>
      <x:c r="D9" s="25" t="n">
        <x:f>IF(A9="","",SUMIFS('Invoice Detail'!$E$7:$E$56,'Invoice Detail'!$A$7:$A$56,A9,'Invoice Detail'!$K$7:$K$56,"Yes"))</x:f>
        <x:v>40650</x:v>
      </x:c>
      <x:c r="E9" s="25" t="n">
        <x:f>IF(A9="","",SUMIFS('Invoice Detail'!$E$7:$E$56,'Invoice Detail'!$A$7:$A$56,A9,'Invoice Detail'!$J$7:$J$56,"Current"))</x:f>
        <x:v>0</x:v>
      </x:c>
      <x:c r="F9" s="25" t="n">
        <x:f>IF(A9="","",SUMIFS('Invoice Detail'!$E$7:$E$56,'Invoice Detail'!$A$7:$A$56,A9,'Invoice Detail'!$J$7:$J$56,"1-30"))</x:f>
        <x:v>0</x:v>
      </x:c>
      <x:c r="G9" s="25" t="n">
        <x:f>IF(A9="","",SUMIFS('Invoice Detail'!$E$7:$E$56,'Invoice Detail'!$A$7:$A$56,A9,'Invoice Detail'!$J$7:$J$56,"31-60"))</x:f>
        <x:v>0</x:v>
      </x:c>
      <x:c r="H9" s="25" t="n">
        <x:f>IF(A9="","",SUMIFS('Invoice Detail'!$E$7:$E$56,'Invoice Detail'!$A$7:$A$56,A9,'Invoice Detail'!$J$7:$J$56,"61-90"))</x:f>
        <x:v>18250</x:v>
      </x:c>
      <x:c r="I9" s="25" t="n">
        <x:f>IF(A9="","",SUMIFS('Invoice Detail'!$E$7:$E$56,'Invoice Detail'!$A$7:$A$56,A9,'Invoice Detail'!$J$7:$J$56,"90+"))</x:f>
        <x:v>22400</x:v>
      </x:c>
      <x:c r="J9" s="25" t="n">
        <x:f>IF(A9="","",SUMIFS('Invoice Detail'!$E$7:$E$56,'Invoice Detail'!$A$7:$A$56,A9,'Invoice Detail'!$J$7:$J$56,"Unknown"))</x:f>
        <x:v>0</x:v>
      </x:c>
      <x:c r="K9" s="1014" t="n">
        <x:f>IF(A9="","",IF(J9&gt;0,"N/A",MAXIFS('Invoice Detail'!$I$7:$I$56,'Invoice Detail'!$A$7:$A$56,A9)))</x:f>
        <x:v>112</x:v>
      </x:c>
      <x:c r="L9" s="1015" t="n">
        <x:f>IF(A9="","",IFERROR(MAX(0,C9)/'Dashboard'!$E$7,0))</x:f>
        <x:v>0.12946890676009237</x:v>
      </x:c>
      <x:c r="M9" s="13" t="str">
        <x:f>IF(A9="","",IF(C9&lt;0,"Review credit",IF(J9&gt;0,"Investigate date",IF(I9&gt;0,"Escalate",IF(H9&gt;0,"High",IF(G9&gt;0,"Medium",IF(F9&gt;0,"Routine","Current")))))))</x:f>
        <x:v>Escalate</x:v>
      </x:c>
    </x:row>
    <x:row r="10">
      <x:c r="A10" s="13" t="str">
        <x:v>Bayou Industrial Supply</x:v>
      </x:c>
      <x:c r="B10" s="13" t="n">
        <x:f>IF(A10="","",COUNTIFS('Invoice Detail'!$A$7:$A$56,A10,'Invoice Detail'!$F$7:$F$56,"&lt;&gt;Closed"))</x:f>
        <x:v>1</x:v>
      </x:c>
      <x:c r="C10" s="25" t="n">
        <x:f>IF(A10="","",SUMIFS('Invoice Detail'!$E$7:$E$56,'Invoice Detail'!$A$7:$A$56,A10,'Invoice Detail'!$F$7:$F$56,"&lt;&gt;Closed"))</x:f>
        <x:v>31750</x:v>
      </x:c>
      <x:c r="D10" s="25" t="n">
        <x:f>IF(A10="","",SUMIFS('Invoice Detail'!$E$7:$E$56,'Invoice Detail'!$A$7:$A$56,A10,'Invoice Detail'!$K$7:$K$56,"Yes"))</x:f>
        <x:v>31750</x:v>
      </x:c>
      <x:c r="E10" s="25" t="n">
        <x:f>IF(A10="","",SUMIFS('Invoice Detail'!$E$7:$E$56,'Invoice Detail'!$A$7:$A$56,A10,'Invoice Detail'!$J$7:$J$56,"Current"))</x:f>
        <x:v>0</x:v>
      </x:c>
      <x:c r="F10" s="25" t="n">
        <x:f>IF(A10="","",SUMIFS('Invoice Detail'!$E$7:$E$56,'Invoice Detail'!$A$7:$A$56,A10,'Invoice Detail'!$J$7:$J$56,"1-30"))</x:f>
        <x:v>0</x:v>
      </x:c>
      <x:c r="G10" s="25" t="n">
        <x:f>IF(A10="","",SUMIFS('Invoice Detail'!$E$7:$E$56,'Invoice Detail'!$A$7:$A$56,A10,'Invoice Detail'!$J$7:$J$56,"31-60"))</x:f>
        <x:v>0</x:v>
      </x:c>
      <x:c r="H10" s="25" t="n">
        <x:f>IF(A10="","",SUMIFS('Invoice Detail'!$E$7:$E$56,'Invoice Detail'!$A$7:$A$56,A10,'Invoice Detail'!$J$7:$J$56,"61-90"))</x:f>
        <x:v>0</x:v>
      </x:c>
      <x:c r="I10" s="25" t="n">
        <x:f>IF(A10="","",SUMIFS('Invoice Detail'!$E$7:$E$56,'Invoice Detail'!$A$7:$A$56,A10,'Invoice Detail'!$J$7:$J$56,"90+"))</x:f>
        <x:v>31750</x:v>
      </x:c>
      <x:c r="J10" s="25" t="n">
        <x:f>IF(A10="","",SUMIFS('Invoice Detail'!$E$7:$E$56,'Invoice Detail'!$A$7:$A$56,A10,'Invoice Detail'!$J$7:$J$56,"Unknown"))</x:f>
        <x:v>0</x:v>
      </x:c>
      <x:c r="K10" s="1014" t="n">
        <x:f>IF(A10="","",IF(J10&gt;0,"N/A",MAXIFS('Invoice Detail'!$I$7:$I$56,'Invoice Detail'!$A$7:$A$56,A10)))</x:f>
        <x:v>146</x:v>
      </x:c>
      <x:c r="L10" s="1015" t="n">
        <x:f>IF(A10="","",IFERROR(MAX(0,C10)/'Dashboard'!$E$7,0))</x:f>
        <x:v>0.10112270085197866</x:v>
      </x:c>
      <x:c r="M10" s="13" t="str">
        <x:f>IF(A10="","",IF(C10&lt;0,"Review credit",IF(J10&gt;0,"Investigate date",IF(I10&gt;0,"Escalate",IF(H10&gt;0,"High",IF(G10&gt;0,"Medium",IF(F10&gt;0,"Routine","Current")))))))</x:f>
        <x:v>Escalate</x:v>
      </x:c>
    </x:row>
    <x:row r="11">
      <x:c r="A11" s="13" t="str">
        <x:v>Jefferson Community Care</x:v>
      </x:c>
      <x:c r="B11" s="13" t="n">
        <x:f>IF(A11="","",COUNTIFS('Invoice Detail'!$A$7:$A$56,A11,'Invoice Detail'!$F$7:$F$56,"&lt;&gt;Closed"))</x:f>
        <x:v>1</x:v>
      </x:c>
      <x:c r="C11" s="25" t="n">
        <x:f>IF(A11="","",SUMIFS('Invoice Detail'!$E$7:$E$56,'Invoice Detail'!$A$7:$A$56,A11,'Invoice Detail'!$F$7:$F$56,"&lt;&gt;Closed"))</x:f>
        <x:v>26500</x:v>
      </x:c>
      <x:c r="D11" s="25" t="n">
        <x:f>IF(A11="","",SUMIFS('Invoice Detail'!$E$7:$E$56,'Invoice Detail'!$A$7:$A$56,A11,'Invoice Detail'!$K$7:$K$56,"Yes"))</x:f>
        <x:v>26500</x:v>
      </x:c>
      <x:c r="E11" s="25" t="n">
        <x:f>IF(A11="","",SUMIFS('Invoice Detail'!$E$7:$E$56,'Invoice Detail'!$A$7:$A$56,A11,'Invoice Detail'!$J$7:$J$56,"Current"))</x:f>
        <x:v>0</x:v>
      </x:c>
      <x:c r="F11" s="25" t="n">
        <x:f>IF(A11="","",SUMIFS('Invoice Detail'!$E$7:$E$56,'Invoice Detail'!$A$7:$A$56,A11,'Invoice Detail'!$J$7:$J$56,"1-30"))</x:f>
        <x:v>0</x:v>
      </x:c>
      <x:c r="G11" s="25" t="n">
        <x:f>IF(A11="","",SUMIFS('Invoice Detail'!$E$7:$E$56,'Invoice Detail'!$A$7:$A$56,A11,'Invoice Detail'!$J$7:$J$56,"31-60"))</x:f>
        <x:v>0</x:v>
      </x:c>
      <x:c r="H11" s="25" t="n">
        <x:f>IF(A11="","",SUMIFS('Invoice Detail'!$E$7:$E$56,'Invoice Detail'!$A$7:$A$56,A11,'Invoice Detail'!$J$7:$J$56,"61-90"))</x:f>
        <x:v>0</x:v>
      </x:c>
      <x:c r="I11" s="25" t="n">
        <x:f>IF(A11="","",SUMIFS('Invoice Detail'!$E$7:$E$56,'Invoice Detail'!$A$7:$A$56,A11,'Invoice Detail'!$J$7:$J$56,"90+"))</x:f>
        <x:v>26500</x:v>
      </x:c>
      <x:c r="J11" s="25" t="n">
        <x:f>IF(A11="","",SUMIFS('Invoice Detail'!$E$7:$E$56,'Invoice Detail'!$A$7:$A$56,A11,'Invoice Detail'!$J$7:$J$56,"Unknown"))</x:f>
        <x:v>0</x:v>
      </x:c>
      <x:c r="K11" s="1014" t="n">
        <x:f>IF(A11="","",IF(J11&gt;0,"N/A",MAXIFS('Invoice Detail'!$I$7:$I$56,'Invoice Detail'!$A$7:$A$56,A11)))</x:f>
        <x:v>152</x:v>
      </x:c>
      <x:c r="L11" s="1015" t="n">
        <x:f>IF(A11="","",IFERROR(MAX(0,C11)/'Dashboard'!$E$7,0))</x:f>
        <x:v>0.08440162433314755</x:v>
      </x:c>
      <x:c r="M11" s="13" t="str">
        <x:f>IF(A11="","",IF(C11&lt;0,"Review credit",IF(J11&gt;0,"Investigate date",IF(I11&gt;0,"Escalate",IF(H11&gt;0,"High",IF(G11&gt;0,"Medium",IF(F11&gt;0,"Routine","Current")))))))</x:f>
        <x:v>Escalate</x:v>
      </x:c>
    </x:row>
    <x:row r="12">
      <x:c r="A12" s="13" t="str">
        <x:v>Orchid Wholesale</x:v>
      </x:c>
      <x:c r="B12" s="13" t="n">
        <x:f>IF(A12="","",COUNTIFS('Invoice Detail'!$A$7:$A$56,A12,'Invoice Detail'!$F$7:$F$56,"&lt;&gt;Closed"))</x:f>
        <x:v>1</x:v>
      </x:c>
      <x:c r="C12" s="25" t="n">
        <x:f>IF(A12="","",SUMIFS('Invoice Detail'!$E$7:$E$56,'Invoice Detail'!$A$7:$A$56,A12,'Invoice Detail'!$F$7:$F$56,"&lt;&gt;Closed"))</x:f>
        <x:v>20875</x:v>
      </x:c>
      <x:c r="D12" s="25" t="n">
        <x:f>IF(A12="","",SUMIFS('Invoice Detail'!$E$7:$E$56,'Invoice Detail'!$A$7:$A$56,A12,'Invoice Detail'!$K$7:$K$56,"Yes"))</x:f>
        <x:v>20875</x:v>
      </x:c>
      <x:c r="E12" s="25" t="n">
        <x:f>IF(A12="","",SUMIFS('Invoice Detail'!$E$7:$E$56,'Invoice Detail'!$A$7:$A$56,A12,'Invoice Detail'!$J$7:$J$56,"Current"))</x:f>
        <x:v>0</x:v>
      </x:c>
      <x:c r="F12" s="25" t="n">
        <x:f>IF(A12="","",SUMIFS('Invoice Detail'!$E$7:$E$56,'Invoice Detail'!$A$7:$A$56,A12,'Invoice Detail'!$J$7:$J$56,"1-30"))</x:f>
        <x:v>0</x:v>
      </x:c>
      <x:c r="G12" s="25" t="n">
        <x:f>IF(A12="","",SUMIFS('Invoice Detail'!$E$7:$E$56,'Invoice Detail'!$A$7:$A$56,A12,'Invoice Detail'!$J$7:$J$56,"31-60"))</x:f>
        <x:v>0</x:v>
      </x:c>
      <x:c r="H12" s="25" t="n">
        <x:f>IF(A12="","",SUMIFS('Invoice Detail'!$E$7:$E$56,'Invoice Detail'!$A$7:$A$56,A12,'Invoice Detail'!$J$7:$J$56,"61-90"))</x:f>
        <x:v>0</x:v>
      </x:c>
      <x:c r="I12" s="25" t="n">
        <x:f>IF(A12="","",SUMIFS('Invoice Detail'!$E$7:$E$56,'Invoice Detail'!$A$7:$A$56,A12,'Invoice Detail'!$J$7:$J$56,"90+"))</x:f>
        <x:v>20875</x:v>
      </x:c>
      <x:c r="J12" s="25" t="n">
        <x:f>IF(A12="","",SUMIFS('Invoice Detail'!$E$7:$E$56,'Invoice Detail'!$A$7:$A$56,A12,'Invoice Detail'!$J$7:$J$56,"Unknown"))</x:f>
        <x:v>0</x:v>
      </x:c>
      <x:c r="K12" s="1014" t="n">
        <x:f>IF(A12="","",IF(J12&gt;0,"N/A",MAXIFS('Invoice Detail'!$I$7:$I$56,'Invoice Detail'!$A$7:$A$56,A12)))</x:f>
        <x:v>125</x:v>
      </x:c>
      <x:c r="L12" s="1015" t="n">
        <x:f>IF(A12="","",IFERROR(MAX(0,C12)/'Dashboard'!$E$7,0))</x:f>
        <x:v>0.0664861852058285</x:v>
      </x:c>
      <x:c r="M12" s="13" t="str">
        <x:f>IF(A12="","",IF(C12&lt;0,"Review credit",IF(J12&gt;0,"Investigate date",IF(I12&gt;0,"Escalate",IF(H12&gt;0,"High",IF(G12&gt;0,"Medium",IF(F12&gt;0,"Routine","Current")))))))</x:f>
        <x:v>Escalate</x:v>
      </x:c>
    </x:row>
    <x:row r="13">
      <x:c r="A13" s="13" t="str">
        <x:v>Ivory Tech Consulting</x:v>
      </x:c>
      <x:c r="B13" s="13" t="n">
        <x:f>IF(A13="","",COUNTIFS('Invoice Detail'!$A$7:$A$56,A13,'Invoice Detail'!$F$7:$F$56,"&lt;&gt;Closed"))</x:f>
        <x:v>1</x:v>
      </x:c>
      <x:c r="C13" s="25" t="n">
        <x:f>IF(A13="","",SUMIFS('Invoice Detail'!$E$7:$E$56,'Invoice Detail'!$A$7:$A$56,A13,'Invoice Detail'!$F$7:$F$56,"&lt;&gt;Closed"))</x:f>
        <x:v>17110</x:v>
      </x:c>
      <x:c r="D13" s="25" t="n">
        <x:f>IF(A13="","",SUMIFS('Invoice Detail'!$E$7:$E$56,'Invoice Detail'!$A$7:$A$56,A13,'Invoice Detail'!$K$7:$K$56,"Yes"))</x:f>
        <x:v>17110</x:v>
      </x:c>
      <x:c r="E13" s="25" t="n">
        <x:f>IF(A13="","",SUMIFS('Invoice Detail'!$E$7:$E$56,'Invoice Detail'!$A$7:$A$56,A13,'Invoice Detail'!$J$7:$J$56,"Current"))</x:f>
        <x:v>0</x:v>
      </x:c>
      <x:c r="F13" s="25" t="n">
        <x:f>IF(A13="","",SUMIFS('Invoice Detail'!$E$7:$E$56,'Invoice Detail'!$A$7:$A$56,A13,'Invoice Detail'!$J$7:$J$56,"1-30"))</x:f>
        <x:v>0</x:v>
      </x:c>
      <x:c r="G13" s="25" t="n">
        <x:f>IF(A13="","",SUMIFS('Invoice Detail'!$E$7:$E$56,'Invoice Detail'!$A$7:$A$56,A13,'Invoice Detail'!$J$7:$J$56,"31-60"))</x:f>
        <x:v>0</x:v>
      </x:c>
      <x:c r="H13" s="25" t="n">
        <x:f>IF(A13="","",SUMIFS('Invoice Detail'!$E$7:$E$56,'Invoice Detail'!$A$7:$A$56,A13,'Invoice Detail'!$J$7:$J$56,"61-90"))</x:f>
        <x:v>0</x:v>
      </x:c>
      <x:c r="I13" s="25" t="n">
        <x:f>IF(A13="","",SUMIFS('Invoice Detail'!$E$7:$E$56,'Invoice Detail'!$A$7:$A$56,A13,'Invoice Detail'!$J$7:$J$56,"90+"))</x:f>
        <x:v>17110</x:v>
      </x:c>
      <x:c r="J13" s="25" t="n">
        <x:f>IF(A13="","",SUMIFS('Invoice Detail'!$E$7:$E$56,'Invoice Detail'!$A$7:$A$56,A13,'Invoice Detail'!$J$7:$J$56,"Unknown"))</x:f>
        <x:v>0</x:v>
      </x:c>
      <x:c r="K13" s="1014" t="n">
        <x:f>IF(A13="","",IF(J13&gt;0,"N/A",MAXIFS('Invoice Detail'!$I$7:$I$56,'Invoice Detail'!$A$7:$A$56,A13)))</x:f>
        <x:v>119</x:v>
      </x:c>
      <x:c r="L13" s="1015" t="n">
        <x:f>IF(A13="","",IFERROR(MAX(0,C13)/'Dashboard'!$E$7,0))</x:f>
        <x:v>0.0544947846166096</x:v>
      </x:c>
      <x:c r="M13" s="13" t="str">
        <x:f>IF(A13="","",IF(C13&lt;0,"Review credit",IF(J13&gt;0,"Investigate date",IF(I13&gt;0,"Escalate",IF(H13&gt;0,"High",IF(G13&gt;0,"Medium",IF(F13&gt;0,"Routine","Current")))))))</x:f>
        <x:v>Escalate</x:v>
      </x:c>
    </x:row>
    <x:row r="14">
      <x:c r="A14" s="13" t="str">
        <x:v>Evergreen Medical Labs</x:v>
      </x:c>
      <x:c r="B14" s="13" t="n">
        <x:f>IF(A14="","",COUNTIFS('Invoice Detail'!$A$7:$A$56,A14,'Invoice Detail'!$F$7:$F$56,"&lt;&gt;Closed"))</x:f>
        <x:v>1</x:v>
      </x:c>
      <x:c r="C14" s="25" t="n">
        <x:f>IF(A14="","",SUMIFS('Invoice Detail'!$E$7:$E$56,'Invoice Detail'!$A$7:$A$56,A14,'Invoice Detail'!$F$7:$F$56,"&lt;&gt;Closed"))</x:f>
        <x:v>14220</x:v>
      </x:c>
      <x:c r="D14" s="25" t="n">
        <x:f>IF(A14="","",SUMIFS('Invoice Detail'!$E$7:$E$56,'Invoice Detail'!$A$7:$A$56,A14,'Invoice Detail'!$K$7:$K$56,"Yes"))</x:f>
        <x:v>14220</x:v>
      </x:c>
      <x:c r="E14" s="25" t="n">
        <x:f>IF(A14="","",SUMIFS('Invoice Detail'!$E$7:$E$56,'Invoice Detail'!$A$7:$A$56,A14,'Invoice Detail'!$J$7:$J$56,"Current"))</x:f>
        <x:v>0</x:v>
      </x:c>
      <x:c r="F14" s="25" t="n">
        <x:f>IF(A14="","",SUMIFS('Invoice Detail'!$E$7:$E$56,'Invoice Detail'!$A$7:$A$56,A14,'Invoice Detail'!$J$7:$J$56,"1-30"))</x:f>
        <x:v>0</x:v>
      </x:c>
      <x:c r="G14" s="25" t="n">
        <x:f>IF(A14="","",SUMIFS('Invoice Detail'!$E$7:$E$56,'Invoice Detail'!$A$7:$A$56,A14,'Invoice Detail'!$J$7:$J$56,"31-60"))</x:f>
        <x:v>14220</x:v>
      </x:c>
      <x:c r="H14" s="25" t="n">
        <x:f>IF(A14="","",SUMIFS('Invoice Detail'!$E$7:$E$56,'Invoice Detail'!$A$7:$A$56,A14,'Invoice Detail'!$J$7:$J$56,"61-90"))</x:f>
        <x:v>0</x:v>
      </x:c>
      <x:c r="I14" s="25" t="n">
        <x:f>IF(A14="","",SUMIFS('Invoice Detail'!$E$7:$E$56,'Invoice Detail'!$A$7:$A$56,A14,'Invoice Detail'!$J$7:$J$56,"90+"))</x:f>
        <x:v>0</x:v>
      </x:c>
      <x:c r="J14" s="25" t="n">
        <x:f>IF(A14="","",SUMIFS('Invoice Detail'!$E$7:$E$56,'Invoice Detail'!$A$7:$A$56,A14,'Invoice Detail'!$J$7:$J$56,"Unknown"))</x:f>
        <x:v>0</x:v>
      </x:c>
      <x:c r="K14" s="1014" t="n">
        <x:f>IF(A14="","",IF(J14&gt;0,"N/A",MAXIFS('Invoice Detail'!$I$7:$I$56,'Invoice Detail'!$A$7:$A$56,A14)))</x:f>
        <x:v>50</x:v>
      </x:c>
      <x:c r="L14" s="1015" t="n">
        <x:f>IF(A14="","",IFERROR(MAX(0,C14)/'Dashboard'!$E$7,0))</x:f>
        <x:v>0.045290230113862566</x:v>
      </x:c>
      <x:c r="M14" s="13" t="str">
        <x:f>IF(A14="","",IF(C14&lt;0,"Review credit",IF(J14&gt;0,"Investigate date",IF(I14&gt;0,"Escalate",IF(H14&gt;0,"High",IF(G14&gt;0,"Medium",IF(F14&gt;0,"Routine","Current")))))))</x:f>
        <x:v>Medium</x:v>
      </x:c>
    </x:row>
    <x:row r="15">
      <x:c r="A15" s="13" t="str">
        <x:v>North Delta Equipment</x:v>
      </x:c>
      <x:c r="B15" s="13" t="n">
        <x:f>IF(A15="","",COUNTIFS('Invoice Detail'!$A$7:$A$56,A15,'Invoice Detail'!$F$7:$F$56,"&lt;&gt;Closed"))</x:f>
        <x:v>1</x:v>
      </x:c>
      <x:c r="C15" s="25" t="n">
        <x:f>IF(A15="","",SUMIFS('Invoice Detail'!$E$7:$E$56,'Invoice Detail'!$A$7:$A$56,A15,'Invoice Detail'!$F$7:$F$56,"&lt;&gt;Closed"))</x:f>
        <x:v>13450</x:v>
      </x:c>
      <x:c r="D15" s="25" t="n">
        <x:f>IF(A15="","",SUMIFS('Invoice Detail'!$E$7:$E$56,'Invoice Detail'!$A$7:$A$56,A15,'Invoice Detail'!$K$7:$K$56,"Yes"))</x:f>
        <x:v>13450</x:v>
      </x:c>
      <x:c r="E15" s="25" t="n">
        <x:f>IF(A15="","",SUMIFS('Invoice Detail'!$E$7:$E$56,'Invoice Detail'!$A$7:$A$56,A15,'Invoice Detail'!$J$7:$J$56,"Current"))</x:f>
        <x:v>0</x:v>
      </x:c>
      <x:c r="F15" s="25" t="n">
        <x:f>IF(A15="","",SUMIFS('Invoice Detail'!$E$7:$E$56,'Invoice Detail'!$A$7:$A$56,A15,'Invoice Detail'!$J$7:$J$56,"1-30"))</x:f>
        <x:v>13450</x:v>
      </x:c>
      <x:c r="G15" s="25" t="n">
        <x:f>IF(A15="","",SUMIFS('Invoice Detail'!$E$7:$E$56,'Invoice Detail'!$A$7:$A$56,A15,'Invoice Detail'!$J$7:$J$56,"31-60"))</x:f>
        <x:v>0</x:v>
      </x:c>
      <x:c r="H15" s="25" t="n">
        <x:f>IF(A15="","",SUMIFS('Invoice Detail'!$E$7:$E$56,'Invoice Detail'!$A$7:$A$56,A15,'Invoice Detail'!$J$7:$J$56,"61-90"))</x:f>
        <x:v>0</x:v>
      </x:c>
      <x:c r="I15" s="25" t="n">
        <x:f>IF(A15="","",SUMIFS('Invoice Detail'!$E$7:$E$56,'Invoice Detail'!$A$7:$A$56,A15,'Invoice Detail'!$J$7:$J$56,"90+"))</x:f>
        <x:v>0</x:v>
      </x:c>
      <x:c r="J15" s="25" t="n">
        <x:f>IF(A15="","",SUMIFS('Invoice Detail'!$E$7:$E$56,'Invoice Detail'!$A$7:$A$56,A15,'Invoice Detail'!$J$7:$J$56,"Unknown"))</x:f>
        <x:v>0</x:v>
      </x:c>
      <x:c r="K15" s="1014" t="n">
        <x:f>IF(A15="","",IF(J15&gt;0,"N/A",MAXIFS('Invoice Detail'!$I$7:$I$56,'Invoice Detail'!$A$7:$A$56,A15)))</x:f>
        <x:v>19</x:v>
      </x:c>
      <x:c r="L15" s="1015" t="n">
        <x:f>IF(A15="","",IFERROR(MAX(0,C15)/'Dashboard'!$E$7,0))</x:f>
        <x:v>0.04283780555776734</x:v>
      </x:c>
      <x:c r="M15" s="13" t="str">
        <x:f>IF(A15="","",IF(C15&lt;0,"Review credit",IF(J15&gt;0,"Investigate date",IF(I15&gt;0,"Escalate",IF(H15&gt;0,"High",IF(G15&gt;0,"Medium",IF(F15&gt;0,"Routine","Current")))))))</x:f>
        <x:v>Routine</x:v>
      </x:c>
    </x:row>
    <x:row r="16">
      <x:c r="A16" s="13" t="str">
        <x:v>Frontier Logistics</x:v>
      </x:c>
      <x:c r="B16" s="13" t="n">
        <x:f>IF(A16="","",COUNTIFS('Invoice Detail'!$A$7:$A$56,A16,'Invoice Detail'!$F$7:$F$56,"&lt;&gt;Closed"))</x:f>
        <x:v>1</x:v>
      </x:c>
      <x:c r="C16" s="25" t="n">
        <x:f>IF(A16="","",SUMIFS('Invoice Detail'!$E$7:$E$56,'Invoice Detail'!$A$7:$A$56,A16,'Invoice Detail'!$F$7:$F$56,"&lt;&gt;Closed"))</x:f>
        <x:v>12500</x:v>
      </x:c>
      <x:c r="D16" s="25" t="n">
        <x:f>IF(A16="","",SUMIFS('Invoice Detail'!$E$7:$E$56,'Invoice Detail'!$A$7:$A$56,A16,'Invoice Detail'!$K$7:$K$56,"Yes"))</x:f>
        <x:v>12500</x:v>
      </x:c>
      <x:c r="E16" s="25" t="n">
        <x:f>IF(A16="","",SUMIFS('Invoice Detail'!$E$7:$E$56,'Invoice Detail'!$A$7:$A$56,A16,'Invoice Detail'!$J$7:$J$56,"Current"))</x:f>
        <x:v>0</x:v>
      </x:c>
      <x:c r="F16" s="25" t="n">
        <x:f>IF(A16="","",SUMIFS('Invoice Detail'!$E$7:$E$56,'Invoice Detail'!$A$7:$A$56,A16,'Invoice Detail'!$J$7:$J$56,"1-30"))</x:f>
        <x:v>0</x:v>
      </x:c>
      <x:c r="G16" s="25" t="n">
        <x:f>IF(A16="","",SUMIFS('Invoice Detail'!$E$7:$E$56,'Invoice Detail'!$A$7:$A$56,A16,'Invoice Detail'!$J$7:$J$56,"31-60"))</x:f>
        <x:v>0</x:v>
      </x:c>
      <x:c r="H16" s="25" t="n">
        <x:f>IF(A16="","",SUMIFS('Invoice Detail'!$E$7:$E$56,'Invoice Detail'!$A$7:$A$56,A16,'Invoice Detail'!$J$7:$J$56,"61-90"))</x:f>
        <x:v>12500</x:v>
      </x:c>
      <x:c r="I16" s="25" t="n">
        <x:f>IF(A16="","",SUMIFS('Invoice Detail'!$E$7:$E$56,'Invoice Detail'!$A$7:$A$56,A16,'Invoice Detail'!$J$7:$J$56,"90+"))</x:f>
        <x:v>0</x:v>
      </x:c>
      <x:c r="J16" s="25" t="n">
        <x:f>IF(A16="","",SUMIFS('Invoice Detail'!$E$7:$E$56,'Invoice Detail'!$A$7:$A$56,A16,'Invoice Detail'!$J$7:$J$56,"Unknown"))</x:f>
        <x:v>0</x:v>
      </x:c>
      <x:c r="K16" s="1014" t="n">
        <x:f>IF(A16="","",IF(J16&gt;0,"N/A",MAXIFS('Invoice Detail'!$I$7:$I$56,'Invoice Detail'!$A$7:$A$56,A16)))</x:f>
        <x:v>61</x:v>
      </x:c>
      <x:c r="L16" s="1015" t="n">
        <x:f>IF(A16="","",IFERROR(MAX(0,C16)/'Dashboard'!$E$7,0))</x:f>
        <x:v>0.0398120869495979</x:v>
      </x:c>
      <x:c r="M16" s="13" t="str">
        <x:f>IF(A16="","",IF(C16&lt;0,"Review credit",IF(J16&gt;0,"Investigate date",IF(I16&gt;0,"Escalate",IF(H16&gt;0,"High",IF(G16&gt;0,"Medium",IF(F16&gt;0,"Routine","Current")))))))</x:f>
        <x:v>High</x:v>
      </x:c>
    </x:row>
    <x:row r="17">
      <x:c r="A17" s="13" t="str">
        <x:v>Lafayette Public Works</x:v>
      </x:c>
      <x:c r="B17" s="13" t="n">
        <x:f>IF(A17="","",COUNTIFS('Invoice Detail'!$A$7:$A$56,A17,'Invoice Detail'!$F$7:$F$56,"&lt;&gt;Closed"))</x:f>
        <x:v>1</x:v>
      </x:c>
      <x:c r="C17" s="25" t="n">
        <x:f>IF(A17="","",SUMIFS('Invoice Detail'!$E$7:$E$56,'Invoice Detail'!$A$7:$A$56,A17,'Invoice Detail'!$F$7:$F$56,"&lt;&gt;Closed"))</x:f>
        <x:v>11200</x:v>
      </x:c>
      <x:c r="D17" s="25" t="n">
        <x:f>IF(A17="","",SUMIFS('Invoice Detail'!$E$7:$E$56,'Invoice Detail'!$A$7:$A$56,A17,'Invoice Detail'!$K$7:$K$56,"Yes"))</x:f>
        <x:v>0</x:v>
      </x:c>
      <x:c r="E17" s="25" t="n">
        <x:f>IF(A17="","",SUMIFS('Invoice Detail'!$E$7:$E$56,'Invoice Detail'!$A$7:$A$56,A17,'Invoice Detail'!$J$7:$J$56,"Current"))</x:f>
        <x:v>0</x:v>
      </x:c>
      <x:c r="F17" s="25" t="n">
        <x:f>IF(A17="","",SUMIFS('Invoice Detail'!$E$7:$E$56,'Invoice Detail'!$A$7:$A$56,A17,'Invoice Detail'!$J$7:$J$56,"1-30"))</x:f>
        <x:v>0</x:v>
      </x:c>
      <x:c r="G17" s="25" t="n">
        <x:f>IF(A17="","",SUMIFS('Invoice Detail'!$E$7:$E$56,'Invoice Detail'!$A$7:$A$56,A17,'Invoice Detail'!$J$7:$J$56,"31-60"))</x:f>
        <x:v>0</x:v>
      </x:c>
      <x:c r="H17" s="25" t="n">
        <x:f>IF(A17="","",SUMIFS('Invoice Detail'!$E$7:$E$56,'Invoice Detail'!$A$7:$A$56,A17,'Invoice Detail'!$J$7:$J$56,"61-90"))</x:f>
        <x:v>0</x:v>
      </x:c>
      <x:c r="I17" s="25" t="n">
        <x:f>IF(A17="","",SUMIFS('Invoice Detail'!$E$7:$E$56,'Invoice Detail'!$A$7:$A$56,A17,'Invoice Detail'!$J$7:$J$56,"90+"))</x:f>
        <x:v>0</x:v>
      </x:c>
      <x:c r="J17" s="25" t="n">
        <x:f>IF(A17="","",SUMIFS('Invoice Detail'!$E$7:$E$56,'Invoice Detail'!$A$7:$A$56,A17,'Invoice Detail'!$J$7:$J$56,"Unknown"))</x:f>
        <x:v>11200</x:v>
      </x:c>
      <x:c r="K17" s="1014" t="str">
        <x:f>IF(A17="","",IF(J17&gt;0,"N/A",MAXIFS('Invoice Detail'!$I$7:$I$56,'Invoice Detail'!$A$7:$A$56,A17)))</x:f>
        <x:v>N/A</x:v>
      </x:c>
      <x:c r="L17" s="1015" t="n">
        <x:f>IF(A17="","",IFERROR(MAX(0,C17)/'Dashboard'!$E$7,0))</x:f>
        <x:v>0.03567162990683972</x:v>
      </x:c>
      <x:c r="M17" s="13" t="str">
        <x:f>IF(A17="","",IF(C17&lt;0,"Review credit",IF(J17&gt;0,"Investigate date",IF(I17&gt;0,"Escalate",IF(H17&gt;0,"High",IF(G17&gt;0,"Medium",IF(F17&gt;0,"Routine","Current")))))))</x:f>
        <x:v>Investigate date</x:v>
      </x:c>
    </x:row>
    <x:row r="18">
      <x:c r="A18" s="13" t="str">
        <x:v>Crescent Retail Group</x:v>
      </x:c>
      <x:c r="B18" s="13" t="n">
        <x:f>IF(A18="","",COUNTIFS('Invoice Detail'!$A$7:$A$56,A18,'Invoice Detail'!$F$7:$F$56,"&lt;&gt;Closed"))</x:f>
        <x:v>1</x:v>
      </x:c>
      <x:c r="C18" s="25" t="n">
        <x:f>IF(A18="","",SUMIFS('Invoice Detail'!$E$7:$E$56,'Invoice Detail'!$A$7:$A$56,A18,'Invoice Detail'!$F$7:$F$56,"&lt;&gt;Closed"))</x:f>
        <x:v>9600</x:v>
      </x:c>
      <x:c r="D18" s="25" t="n">
        <x:f>IF(A18="","",SUMIFS('Invoice Detail'!$E$7:$E$56,'Invoice Detail'!$A$7:$A$56,A18,'Invoice Detail'!$K$7:$K$56,"Yes"))</x:f>
        <x:v>9600</x:v>
      </x:c>
      <x:c r="E18" s="25" t="n">
        <x:f>IF(A18="","",SUMIFS('Invoice Detail'!$E$7:$E$56,'Invoice Detail'!$A$7:$A$56,A18,'Invoice Detail'!$J$7:$J$56,"Current"))</x:f>
        <x:v>0</x:v>
      </x:c>
      <x:c r="F18" s="25" t="n">
        <x:f>IF(A18="","",SUMIFS('Invoice Detail'!$E$7:$E$56,'Invoice Detail'!$A$7:$A$56,A18,'Invoice Detail'!$J$7:$J$56,"1-30"))</x:f>
        <x:v>9600</x:v>
      </x:c>
      <x:c r="G18" s="25" t="n">
        <x:f>IF(A18="","",SUMIFS('Invoice Detail'!$E$7:$E$56,'Invoice Detail'!$A$7:$A$56,A18,'Invoice Detail'!$J$7:$J$56,"31-60"))</x:f>
        <x:v>0</x:v>
      </x:c>
      <x:c r="H18" s="25" t="n">
        <x:f>IF(A18="","",SUMIFS('Invoice Detail'!$E$7:$E$56,'Invoice Detail'!$A$7:$A$56,A18,'Invoice Detail'!$J$7:$J$56,"61-90"))</x:f>
        <x:v>0</x:v>
      </x:c>
      <x:c r="I18" s="25" t="n">
        <x:f>IF(A18="","",SUMIFS('Invoice Detail'!$E$7:$E$56,'Invoice Detail'!$A$7:$A$56,A18,'Invoice Detail'!$J$7:$J$56,"90+"))</x:f>
        <x:v>0</x:v>
      </x:c>
      <x:c r="J18" s="25" t="n">
        <x:f>IF(A18="","",SUMIFS('Invoice Detail'!$E$7:$E$56,'Invoice Detail'!$A$7:$A$56,A18,'Invoice Detail'!$J$7:$J$56,"Unknown"))</x:f>
        <x:v>0</x:v>
      </x:c>
      <x:c r="K18" s="1014" t="n">
        <x:f>IF(A18="","",IF(J18&gt;0,"N/A",MAXIFS('Invoice Detail'!$I$7:$I$56,'Invoice Detail'!$A$7:$A$56,A18)))</x:f>
        <x:v>11</x:v>
      </x:c>
      <x:c r="L18" s="1015" t="n">
        <x:f>IF(A18="","",IFERROR(MAX(0,C18)/'Dashboard'!$E$7,0))</x:f>
        <x:v>0.030575682777291186</x:v>
      </x:c>
      <x:c r="M18" s="13" t="str">
        <x:f>IF(A18="","",IF(C18&lt;0,"Review credit",IF(J18&gt;0,"Investigate date",IF(I18&gt;0,"Escalate",IF(H18&gt;0,"High",IF(G18&gt;0,"Medium",IF(F18&gt;0,"Routine","Current")))))))</x:f>
        <x:v>Routine</x:v>
      </x:c>
    </x:row>
    <x:row r="19">
      <x:c r="A19" s="13" t="str">
        <x:v>Harbor Energy Co.</x:v>
      </x:c>
      <x:c r="B19" s="13" t="n">
        <x:f>IF(A19="","",COUNTIFS('Invoice Detail'!$A$7:$A$56,A19,'Invoice Detail'!$F$7:$F$56,"&lt;&gt;Closed"))</x:f>
        <x:v>1</x:v>
      </x:c>
      <x:c r="C19" s="25" t="n">
        <x:f>IF(A19="","",SUMIFS('Invoice Detail'!$E$7:$E$56,'Invoice Detail'!$A$7:$A$56,A19,'Invoice Detail'!$F$7:$F$56,"&lt;&gt;Closed"))</x:f>
        <x:v>8800</x:v>
      </x:c>
      <x:c r="D19" s="25" t="n">
        <x:f>IF(A19="","",SUMIFS('Invoice Detail'!$E$7:$E$56,'Invoice Detail'!$A$7:$A$56,A19,'Invoice Detail'!$K$7:$K$56,"Yes"))</x:f>
        <x:v>8800</x:v>
      </x:c>
      <x:c r="E19" s="25" t="n">
        <x:f>IF(A19="","",SUMIFS('Invoice Detail'!$E$7:$E$56,'Invoice Detail'!$A$7:$A$56,A19,'Invoice Detail'!$J$7:$J$56,"Current"))</x:f>
        <x:v>0</x:v>
      </x:c>
      <x:c r="F19" s="25" t="n">
        <x:f>IF(A19="","",SUMIFS('Invoice Detail'!$E$7:$E$56,'Invoice Detail'!$A$7:$A$56,A19,'Invoice Detail'!$J$7:$J$56,"1-30"))</x:f>
        <x:v>8800</x:v>
      </x:c>
      <x:c r="G19" s="25" t="n">
        <x:f>IF(A19="","",SUMIFS('Invoice Detail'!$E$7:$E$56,'Invoice Detail'!$A$7:$A$56,A19,'Invoice Detail'!$J$7:$J$56,"31-60"))</x:f>
        <x:v>0</x:v>
      </x:c>
      <x:c r="H19" s="25" t="n">
        <x:f>IF(A19="","",SUMIFS('Invoice Detail'!$E$7:$E$56,'Invoice Detail'!$A$7:$A$56,A19,'Invoice Detail'!$J$7:$J$56,"61-90"))</x:f>
        <x:v>0</x:v>
      </x:c>
      <x:c r="I19" s="25" t="n">
        <x:f>IF(A19="","",SUMIFS('Invoice Detail'!$E$7:$E$56,'Invoice Detail'!$A$7:$A$56,A19,'Invoice Detail'!$J$7:$J$56,"90+"))</x:f>
        <x:v>0</x:v>
      </x:c>
      <x:c r="J19" s="25" t="n">
        <x:f>IF(A19="","",SUMIFS('Invoice Detail'!$E$7:$E$56,'Invoice Detail'!$A$7:$A$56,A19,'Invoice Detail'!$J$7:$J$56,"Unknown"))</x:f>
        <x:v>0</x:v>
      </x:c>
      <x:c r="K19" s="1014" t="n">
        <x:f>IF(A19="","",IF(J19&gt;0,"N/A",MAXIFS('Invoice Detail'!$I$7:$I$56,'Invoice Detail'!$A$7:$A$56,A19)))</x:f>
        <x:v>23</x:v>
      </x:c>
      <x:c r="L19" s="1015" t="n">
        <x:f>IF(A19="","",IFERROR(MAX(0,C19)/'Dashboard'!$E$7,0))</x:f>
        <x:v>0.02802770921251692</x:v>
      </x:c>
      <x:c r="M19" s="13" t="str">
        <x:f>IF(A19="","",IF(C19&lt;0,"Review credit",IF(J19&gt;0,"Investigate date",IF(I19&gt;0,"Escalate",IF(H19&gt;0,"High",IF(G19&gt;0,"Medium",IF(F19&gt;0,"Routine","Current")))))))</x:f>
        <x:v>Routine</x:v>
      </x:c>
    </x:row>
    <x:row r="20">
      <x:c r="A20" s="13" t="str">
        <x:v>Keystone Distribution</x:v>
      </x:c>
      <x:c r="B20" s="13" t="n">
        <x:f>IF(A20="","",COUNTIFS('Invoice Detail'!$A$7:$A$56,A20,'Invoice Detail'!$F$7:$F$56,"&lt;&gt;Closed"))</x:f>
        <x:v>1</x:v>
      </x:c>
      <x:c r="C20" s="25" t="n">
        <x:f>IF(A20="","",SUMIFS('Invoice Detail'!$E$7:$E$56,'Invoice Detail'!$A$7:$A$56,A20,'Invoice Detail'!$F$7:$F$56,"&lt;&gt;Closed"))</x:f>
        <x:v>-2400</x:v>
      </x:c>
      <x:c r="D20" s="25" t="n">
        <x:f>IF(A20="","",SUMIFS('Invoice Detail'!$E$7:$E$56,'Invoice Detail'!$A$7:$A$56,A20,'Invoice Detail'!$K$7:$K$56,"Yes"))</x:f>
        <x:v>0</x:v>
      </x:c>
      <x:c r="E20" s="25" t="n">
        <x:f>IF(A20="","",SUMIFS('Invoice Detail'!$E$7:$E$56,'Invoice Detail'!$A$7:$A$56,A20,'Invoice Detail'!$J$7:$J$56,"Current"))</x:f>
        <x:v>0</x:v>
      </x:c>
      <x:c r="F20" s="25" t="n">
        <x:f>IF(A20="","",SUMIFS('Invoice Detail'!$E$7:$E$56,'Invoice Detail'!$A$7:$A$56,A20,'Invoice Detail'!$J$7:$J$56,"1-30"))</x:f>
        <x:v>0</x:v>
      </x:c>
      <x:c r="G20" s="25" t="n">
        <x:f>IF(A20="","",SUMIFS('Invoice Detail'!$E$7:$E$56,'Invoice Detail'!$A$7:$A$56,A20,'Invoice Detail'!$J$7:$J$56,"31-60"))</x:f>
        <x:v>0</x:v>
      </x:c>
      <x:c r="H20" s="25" t="n">
        <x:f>IF(A20="","",SUMIFS('Invoice Detail'!$E$7:$E$56,'Invoice Detail'!$A$7:$A$56,A20,'Invoice Detail'!$J$7:$J$56,"61-90"))</x:f>
        <x:v>-2400</x:v>
      </x:c>
      <x:c r="I20" s="25" t="n">
        <x:f>IF(A20="","",SUMIFS('Invoice Detail'!$E$7:$E$56,'Invoice Detail'!$A$7:$A$56,A20,'Invoice Detail'!$J$7:$J$56,"90+"))</x:f>
        <x:v>0</x:v>
      </x:c>
      <x:c r="J20" s="25" t="n">
        <x:f>IF(A20="","",SUMIFS('Invoice Detail'!$E$7:$E$56,'Invoice Detail'!$A$7:$A$56,A20,'Invoice Detail'!$J$7:$J$56,"Unknown"))</x:f>
        <x:v>0</x:v>
      </x:c>
      <x:c r="K20" s="1014" t="n">
        <x:f>IF(A20="","",IF(J20&gt;0,"N/A",MAXIFS('Invoice Detail'!$I$7:$I$56,'Invoice Detail'!$A$7:$A$56,A20)))</x:f>
        <x:v>72</x:v>
      </x:c>
      <x:c r="L20" s="1015" t="n">
        <x:f>IF(A20="","",IFERROR(MAX(0,C20)/'Dashboard'!$E$7,0))</x:f>
        <x:v>0</x:v>
      </x:c>
      <x:c r="M20" s="13" t="str">
        <x:f>IF(A20="","",IF(C20&lt;0,"Review credit",IF(J20&gt;0,"Investigate date",IF(I20&gt;0,"Escalate",IF(H20&gt;0,"High",IF(G20&gt;0,"Medium",IF(F20&gt;0,"Routine","Current")))))))</x:f>
        <x:v>Review credit</x:v>
      </x:c>
    </x:row>
    <x:row r="21">
      <x:c r="A21" s="13"/>
      <x:c r="B21" s="13" t="str">
        <x:f>IF(A21="","",COUNTIFS('Invoice Detail'!$A$7:$A$56,A21,'Invoice Detail'!$F$7:$F$56,"&lt;&gt;Closed"))</x:f>
      </x:c>
      <x:c r="C21" s="25" t="str">
        <x:f>IF(A21="","",SUMIFS('Invoice Detail'!$E$7:$E$56,'Invoice Detail'!$A$7:$A$56,A21,'Invoice Detail'!$F$7:$F$56,"&lt;&gt;Closed"))</x:f>
      </x:c>
      <x:c r="D21" s="25" t="str">
        <x:f>IF(A21="","",SUMIFS('Invoice Detail'!$E$7:$E$56,'Invoice Detail'!$A$7:$A$56,A21,'Invoice Detail'!$K$7:$K$56,"Yes"))</x:f>
      </x:c>
      <x:c r="E21" s="25" t="str">
        <x:f>IF(A21="","",SUMIFS('Invoice Detail'!$E$7:$E$56,'Invoice Detail'!$A$7:$A$56,A21,'Invoice Detail'!$J$7:$J$56,"Current"))</x:f>
      </x:c>
      <x:c r="F21" s="25" t="str">
        <x:f>IF(A21="","",SUMIFS('Invoice Detail'!$E$7:$E$56,'Invoice Detail'!$A$7:$A$56,A21,'Invoice Detail'!$J$7:$J$56,"1-30"))</x:f>
      </x:c>
      <x:c r="G21" s="25" t="str">
        <x:f>IF(A21="","",SUMIFS('Invoice Detail'!$E$7:$E$56,'Invoice Detail'!$A$7:$A$56,A21,'Invoice Detail'!$J$7:$J$56,"31-60"))</x:f>
      </x:c>
      <x:c r="H21" s="25" t="str">
        <x:f>IF(A21="","",SUMIFS('Invoice Detail'!$E$7:$E$56,'Invoice Detail'!$A$7:$A$56,A21,'Invoice Detail'!$J$7:$J$56,"61-90"))</x:f>
      </x:c>
      <x:c r="I21" s="25" t="str">
        <x:f>IF(A21="","",SUMIFS('Invoice Detail'!$E$7:$E$56,'Invoice Detail'!$A$7:$A$56,A21,'Invoice Detail'!$J$7:$J$56,"90+"))</x:f>
      </x:c>
      <x:c r="J21" s="25" t="str">
        <x:f>IF(A21="","",SUMIFS('Invoice Detail'!$E$7:$E$56,'Invoice Detail'!$A$7:$A$56,A21,'Invoice Detail'!$J$7:$J$56,"Unknown"))</x:f>
      </x:c>
      <x:c r="K21" s="1014" t="str">
        <x:f>IF(A21="","",IF(J21&gt;0,"N/A",MAXIFS('Invoice Detail'!$I$7:$I$56,'Invoice Detail'!$A$7:$A$56,A21)))</x:f>
      </x:c>
      <x:c r="L21" s="1015" t="str">
        <x:f>IF(A21="","",IFERROR(MAX(0,C21)/'Dashboard'!$E$7,0))</x:f>
      </x:c>
      <x:c r="M21" s="13" t="str">
        <x:f>IF(A21="","",IF(C21&lt;0,"Review credit",IF(J21&gt;0,"Investigate date",IF(I21&gt;0,"Escalate",IF(H21&gt;0,"High",IF(G21&gt;0,"Medium",IF(F21&gt;0,"Routine","Current")))))))</x:f>
      </x:c>
    </x:row>
    <x:row r="22">
      <x:c r="A22" s="13"/>
      <x:c r="B22" s="13" t="str">
        <x:f>IF(A22="","",COUNTIFS('Invoice Detail'!$A$7:$A$56,A22,'Invoice Detail'!$F$7:$F$56,"&lt;&gt;Closed"))</x:f>
      </x:c>
      <x:c r="C22" s="25" t="str">
        <x:f>IF(A22="","",SUMIFS('Invoice Detail'!$E$7:$E$56,'Invoice Detail'!$A$7:$A$56,A22,'Invoice Detail'!$F$7:$F$56,"&lt;&gt;Closed"))</x:f>
      </x:c>
      <x:c r="D22" s="25" t="str">
        <x:f>IF(A22="","",SUMIFS('Invoice Detail'!$E$7:$E$56,'Invoice Detail'!$A$7:$A$56,A22,'Invoice Detail'!$K$7:$K$56,"Yes"))</x:f>
      </x:c>
      <x:c r="E22" s="25" t="str">
        <x:f>IF(A22="","",SUMIFS('Invoice Detail'!$E$7:$E$56,'Invoice Detail'!$A$7:$A$56,A22,'Invoice Detail'!$J$7:$J$56,"Current"))</x:f>
      </x:c>
      <x:c r="F22" s="25" t="str">
        <x:f>IF(A22="","",SUMIFS('Invoice Detail'!$E$7:$E$56,'Invoice Detail'!$A$7:$A$56,A22,'Invoice Detail'!$J$7:$J$56,"1-30"))</x:f>
      </x:c>
      <x:c r="G22" s="25" t="str">
        <x:f>IF(A22="","",SUMIFS('Invoice Detail'!$E$7:$E$56,'Invoice Detail'!$A$7:$A$56,A22,'Invoice Detail'!$J$7:$J$56,"31-60"))</x:f>
      </x:c>
      <x:c r="H22" s="25" t="str">
        <x:f>IF(A22="","",SUMIFS('Invoice Detail'!$E$7:$E$56,'Invoice Detail'!$A$7:$A$56,A22,'Invoice Detail'!$J$7:$J$56,"61-90"))</x:f>
      </x:c>
      <x:c r="I22" s="25" t="str">
        <x:f>IF(A22="","",SUMIFS('Invoice Detail'!$E$7:$E$56,'Invoice Detail'!$A$7:$A$56,A22,'Invoice Detail'!$J$7:$J$56,"90+"))</x:f>
      </x:c>
      <x:c r="J22" s="25" t="str">
        <x:f>IF(A22="","",SUMIFS('Invoice Detail'!$E$7:$E$56,'Invoice Detail'!$A$7:$A$56,A22,'Invoice Detail'!$J$7:$J$56,"Unknown"))</x:f>
      </x:c>
      <x:c r="K22" s="1014" t="str">
        <x:f>IF(A22="","",IF(J22&gt;0,"N/A",MAXIFS('Invoice Detail'!$I$7:$I$56,'Invoice Detail'!$A$7:$A$56,A22)))</x:f>
      </x:c>
      <x:c r="L22" s="1015" t="str">
        <x:f>IF(A22="","",IFERROR(MAX(0,C22)/'Dashboard'!$E$7,0))</x:f>
      </x:c>
      <x:c r="M22" s="13" t="str">
        <x:f>IF(A22="","",IF(C22&lt;0,"Review credit",IF(J22&gt;0,"Investigate date",IF(I22&gt;0,"Escalate",IF(H22&gt;0,"High",IF(G22&gt;0,"Medium",IF(F22&gt;0,"Routine","Current")))))))</x:f>
      </x:c>
    </x:row>
    <x:row r="23">
      <x:c r="A23" s="13"/>
      <x:c r="B23" s="13" t="str">
        <x:f>IF(A23="","",COUNTIFS('Invoice Detail'!$A$7:$A$56,A23,'Invoice Detail'!$F$7:$F$56,"&lt;&gt;Closed"))</x:f>
      </x:c>
      <x:c r="C23" s="25" t="str">
        <x:f>IF(A23="","",SUMIFS('Invoice Detail'!$E$7:$E$56,'Invoice Detail'!$A$7:$A$56,A23,'Invoice Detail'!$F$7:$F$56,"&lt;&gt;Closed"))</x:f>
      </x:c>
      <x:c r="D23" s="25" t="str">
        <x:f>IF(A23="","",SUMIFS('Invoice Detail'!$E$7:$E$56,'Invoice Detail'!$A$7:$A$56,A23,'Invoice Detail'!$K$7:$K$56,"Yes"))</x:f>
      </x:c>
      <x:c r="E23" s="25" t="str">
        <x:f>IF(A23="","",SUMIFS('Invoice Detail'!$E$7:$E$56,'Invoice Detail'!$A$7:$A$56,A23,'Invoice Detail'!$J$7:$J$56,"Current"))</x:f>
      </x:c>
      <x:c r="F23" s="25" t="str">
        <x:f>IF(A23="","",SUMIFS('Invoice Detail'!$E$7:$E$56,'Invoice Detail'!$A$7:$A$56,A23,'Invoice Detail'!$J$7:$J$56,"1-30"))</x:f>
      </x:c>
      <x:c r="G23" s="25" t="str">
        <x:f>IF(A23="","",SUMIFS('Invoice Detail'!$E$7:$E$56,'Invoice Detail'!$A$7:$A$56,A23,'Invoice Detail'!$J$7:$J$56,"31-60"))</x:f>
      </x:c>
      <x:c r="H23" s="25" t="str">
        <x:f>IF(A23="","",SUMIFS('Invoice Detail'!$E$7:$E$56,'Invoice Detail'!$A$7:$A$56,A23,'Invoice Detail'!$J$7:$J$56,"61-90"))</x:f>
      </x:c>
      <x:c r="I23" s="25" t="str">
        <x:f>IF(A23="","",SUMIFS('Invoice Detail'!$E$7:$E$56,'Invoice Detail'!$A$7:$A$56,A23,'Invoice Detail'!$J$7:$J$56,"90+"))</x:f>
      </x:c>
      <x:c r="J23" s="25" t="str">
        <x:f>IF(A23="","",SUMIFS('Invoice Detail'!$E$7:$E$56,'Invoice Detail'!$A$7:$A$56,A23,'Invoice Detail'!$J$7:$J$56,"Unknown"))</x:f>
      </x:c>
      <x:c r="K23" s="1014" t="str">
        <x:f>IF(A23="","",IF(J23&gt;0,"N/A",MAXIFS('Invoice Detail'!$I$7:$I$56,'Invoice Detail'!$A$7:$A$56,A23)))</x:f>
      </x:c>
      <x:c r="L23" s="1015" t="str">
        <x:f>IF(A23="","",IFERROR(MAX(0,C23)/'Dashboard'!$E$7,0))</x:f>
      </x:c>
      <x:c r="M23" s="13" t="str">
        <x:f>IF(A23="","",IF(C23&lt;0,"Review credit",IF(J23&gt;0,"Investigate date",IF(I23&gt;0,"Escalate",IF(H23&gt;0,"High",IF(G23&gt;0,"Medium",IF(F23&gt;0,"Routine","Current")))))))</x:f>
      </x:c>
    </x:row>
    <x:row r="24">
      <x:c r="A24" s="13"/>
      <x:c r="B24" s="13" t="str">
        <x:f>IF(A24="","",COUNTIFS('Invoice Detail'!$A$7:$A$56,A24,'Invoice Detail'!$F$7:$F$56,"&lt;&gt;Closed"))</x:f>
      </x:c>
      <x:c r="C24" s="25" t="str">
        <x:f>IF(A24="","",SUMIFS('Invoice Detail'!$E$7:$E$56,'Invoice Detail'!$A$7:$A$56,A24,'Invoice Detail'!$F$7:$F$56,"&lt;&gt;Closed"))</x:f>
      </x:c>
      <x:c r="D24" s="25" t="str">
        <x:f>IF(A24="","",SUMIFS('Invoice Detail'!$E$7:$E$56,'Invoice Detail'!$A$7:$A$56,A24,'Invoice Detail'!$K$7:$K$56,"Yes"))</x:f>
      </x:c>
      <x:c r="E24" s="25" t="str">
        <x:f>IF(A24="","",SUMIFS('Invoice Detail'!$E$7:$E$56,'Invoice Detail'!$A$7:$A$56,A24,'Invoice Detail'!$J$7:$J$56,"Current"))</x:f>
      </x:c>
      <x:c r="F24" s="25" t="str">
        <x:f>IF(A24="","",SUMIFS('Invoice Detail'!$E$7:$E$56,'Invoice Detail'!$A$7:$A$56,A24,'Invoice Detail'!$J$7:$J$56,"1-30"))</x:f>
      </x:c>
      <x:c r="G24" s="25" t="str">
        <x:f>IF(A24="","",SUMIFS('Invoice Detail'!$E$7:$E$56,'Invoice Detail'!$A$7:$A$56,A24,'Invoice Detail'!$J$7:$J$56,"31-60"))</x:f>
      </x:c>
      <x:c r="H24" s="25" t="str">
        <x:f>IF(A24="","",SUMIFS('Invoice Detail'!$E$7:$E$56,'Invoice Detail'!$A$7:$A$56,A24,'Invoice Detail'!$J$7:$J$56,"61-90"))</x:f>
      </x:c>
      <x:c r="I24" s="25" t="str">
        <x:f>IF(A24="","",SUMIFS('Invoice Detail'!$E$7:$E$56,'Invoice Detail'!$A$7:$A$56,A24,'Invoice Detail'!$J$7:$J$56,"90+"))</x:f>
      </x:c>
      <x:c r="J24" s="25" t="str">
        <x:f>IF(A24="","",SUMIFS('Invoice Detail'!$E$7:$E$56,'Invoice Detail'!$A$7:$A$56,A24,'Invoice Detail'!$J$7:$J$56,"Unknown"))</x:f>
      </x:c>
      <x:c r="K24" s="1014" t="str">
        <x:f>IF(A24="","",IF(J24&gt;0,"N/A",MAXIFS('Invoice Detail'!$I$7:$I$56,'Invoice Detail'!$A$7:$A$56,A24)))</x:f>
      </x:c>
      <x:c r="L24" s="1015" t="str">
        <x:f>IF(A24="","",IFERROR(MAX(0,C24)/'Dashboard'!$E$7,0))</x:f>
      </x:c>
      <x:c r="M24" s="13" t="str">
        <x:f>IF(A24="","",IF(C24&lt;0,"Review credit",IF(J24&gt;0,"Investigate date",IF(I24&gt;0,"Escalate",IF(H24&gt;0,"High",IF(G24&gt;0,"Medium",IF(F24&gt;0,"Routine","Current")))))))</x:f>
      </x:c>
    </x:row>
    <x:row r="25">
      <x:c r="A25" s="13"/>
      <x:c r="B25" s="13" t="str">
        <x:f>IF(A25="","",COUNTIFS('Invoice Detail'!$A$7:$A$56,A25,'Invoice Detail'!$F$7:$F$56,"&lt;&gt;Closed"))</x:f>
      </x:c>
      <x:c r="C25" s="25" t="str">
        <x:f>IF(A25="","",SUMIFS('Invoice Detail'!$E$7:$E$56,'Invoice Detail'!$A$7:$A$56,A25,'Invoice Detail'!$F$7:$F$56,"&lt;&gt;Closed"))</x:f>
      </x:c>
      <x:c r="D25" s="25" t="str">
        <x:f>IF(A25="","",SUMIFS('Invoice Detail'!$E$7:$E$56,'Invoice Detail'!$A$7:$A$56,A25,'Invoice Detail'!$K$7:$K$56,"Yes"))</x:f>
      </x:c>
      <x:c r="E25" s="25" t="str">
        <x:f>IF(A25="","",SUMIFS('Invoice Detail'!$E$7:$E$56,'Invoice Detail'!$A$7:$A$56,A25,'Invoice Detail'!$J$7:$J$56,"Current"))</x:f>
      </x:c>
      <x:c r="F25" s="25" t="str">
        <x:f>IF(A25="","",SUMIFS('Invoice Detail'!$E$7:$E$56,'Invoice Detail'!$A$7:$A$56,A25,'Invoice Detail'!$J$7:$J$56,"1-30"))</x:f>
      </x:c>
      <x:c r="G25" s="25" t="str">
        <x:f>IF(A25="","",SUMIFS('Invoice Detail'!$E$7:$E$56,'Invoice Detail'!$A$7:$A$56,A25,'Invoice Detail'!$J$7:$J$56,"31-60"))</x:f>
      </x:c>
      <x:c r="H25" s="25" t="str">
        <x:f>IF(A25="","",SUMIFS('Invoice Detail'!$E$7:$E$56,'Invoice Detail'!$A$7:$A$56,A25,'Invoice Detail'!$J$7:$J$56,"61-90"))</x:f>
      </x:c>
      <x:c r="I25" s="25" t="str">
        <x:f>IF(A25="","",SUMIFS('Invoice Detail'!$E$7:$E$56,'Invoice Detail'!$A$7:$A$56,A25,'Invoice Detail'!$J$7:$J$56,"90+"))</x:f>
      </x:c>
      <x:c r="J25" s="25" t="str">
        <x:f>IF(A25="","",SUMIFS('Invoice Detail'!$E$7:$E$56,'Invoice Detail'!$A$7:$A$56,A25,'Invoice Detail'!$J$7:$J$56,"Unknown"))</x:f>
      </x:c>
      <x:c r="K25" s="1014" t="str">
        <x:f>IF(A25="","",IF(J25&gt;0,"N/A",MAXIFS('Invoice Detail'!$I$7:$I$56,'Invoice Detail'!$A$7:$A$56,A25)))</x:f>
      </x:c>
      <x:c r="L25" s="1015" t="str">
        <x:f>IF(A25="","",IFERROR(MAX(0,C25)/'Dashboard'!$E$7,0))</x:f>
      </x:c>
      <x:c r="M25" s="13" t="str">
        <x:f>IF(A25="","",IF(C25&lt;0,"Review credit",IF(J25&gt;0,"Investigate date",IF(I25&gt;0,"Escalate",IF(H25&gt;0,"High",IF(G25&gt;0,"Medium",IF(F25&gt;0,"Routine","Current")))))))</x:f>
      </x:c>
    </x:row>
    <x:row r="26">
      <x:c r="A26" s="14"/>
      <x:c r="B26" s="14" t="str">
        <x:f>IF(A26="","",COUNTIFS('Invoice Detail'!$A$7:$A$56,A26,'Invoice Detail'!$F$7:$F$56,"&lt;&gt;Closed"))</x:f>
      </x:c>
      <x:c r="C26" s="26" t="str">
        <x:f>IF(A26="","",SUMIFS('Invoice Detail'!$E$7:$E$56,'Invoice Detail'!$A$7:$A$56,A26,'Invoice Detail'!$F$7:$F$56,"&lt;&gt;Closed"))</x:f>
      </x:c>
      <x:c r="D26" s="26" t="str">
        <x:f>IF(A26="","",SUMIFS('Invoice Detail'!$E$7:$E$56,'Invoice Detail'!$A$7:$A$56,A26,'Invoice Detail'!$K$7:$K$56,"Yes"))</x:f>
      </x:c>
      <x:c r="E26" s="26" t="str">
        <x:f>IF(A26="","",SUMIFS('Invoice Detail'!$E$7:$E$56,'Invoice Detail'!$A$7:$A$56,A26,'Invoice Detail'!$J$7:$J$56,"Current"))</x:f>
      </x:c>
      <x:c r="F26" s="26" t="str">
        <x:f>IF(A26="","",SUMIFS('Invoice Detail'!$E$7:$E$56,'Invoice Detail'!$A$7:$A$56,A26,'Invoice Detail'!$J$7:$J$56,"1-30"))</x:f>
      </x:c>
      <x:c r="G26" s="26" t="str">
        <x:f>IF(A26="","",SUMIFS('Invoice Detail'!$E$7:$E$56,'Invoice Detail'!$A$7:$A$56,A26,'Invoice Detail'!$J$7:$J$56,"31-60"))</x:f>
      </x:c>
      <x:c r="H26" s="26" t="str">
        <x:f>IF(A26="","",SUMIFS('Invoice Detail'!$E$7:$E$56,'Invoice Detail'!$A$7:$A$56,A26,'Invoice Detail'!$J$7:$J$56,"61-90"))</x:f>
      </x:c>
      <x:c r="I26" s="26" t="str">
        <x:f>IF(A26="","",SUMIFS('Invoice Detail'!$E$7:$E$56,'Invoice Detail'!$A$7:$A$56,A26,'Invoice Detail'!$J$7:$J$56,"90+"))</x:f>
      </x:c>
      <x:c r="J26" s="26" t="str">
        <x:f>IF(A26="","",SUMIFS('Invoice Detail'!$E$7:$E$56,'Invoice Detail'!$A$7:$A$56,A26,'Invoice Detail'!$J$7:$J$56,"Unknown"))</x:f>
      </x:c>
      <x:c r="K26" s="1016" t="str">
        <x:f>IF(A26="","",IF(J26&gt;0,"N/A",MAXIFS('Invoice Detail'!$I$7:$I$56,'Invoice Detail'!$A$7:$A$56,A26)))</x:f>
      </x:c>
      <x:c r="L26" s="1017" t="str">
        <x:f>IF(A26="","",IFERROR(MAX(0,C26)/'Dashboard'!$E$7,0))</x:f>
      </x:c>
      <x:c r="M26" s="14" t="str">
        <x:f>IF(A26="","",IF(C26&lt;0,"Review credit",IF(J26&gt;0,"Investigate date",IF(I26&gt;0,"Escalate",IF(H26&gt;0,"High",IF(G26&gt;0,"Medium",IF(F26&gt;0,"Routine","Current")))))))</x:f>
      </x:c>
    </x:row>
  </x:sheetData>
  <x:mergeCells>
    <x:mergeCell ref="A1:M2"/>
    <x:mergeCell ref="A3:M3"/>
    <x:mergeCell ref="A4:M4"/>
  </x:mergeCells>
  <x:conditionalFormatting sqref="I7:I26">
    <x:cfRule type="cellIs" dxfId="8" priority="1" operator="greaterThan">
      <x:formula>0</x:formula>
    </x:cfRule>
  </x:conditionalFormatting>
  <x:conditionalFormatting sqref="J7:J26">
    <x:cfRule type="cellIs" dxfId="9" priority="2" operator="greaterThan">
      <x:formula>0</x:formula>
    </x:cfRule>
  </x:conditionalFormatting>
  <x:conditionalFormatting sqref="L7:L26">
    <x:cfRule type="dataBar" priority="3">
      <x:dataBar>
        <x:cfvo type="min"/>
        <x:cfvo type="max"/>
        <x:color rgb="FF2A9D8F"/>
      </x:dataBar>
      <x:extLst>
        <x:ext xmlns:x14="http://schemas.microsoft.com/office/spreadsheetml/2009/9/main" uri="{B025F937-C7B1-47D3-B67F-A62EFF666E3E}">
          <x14:id>{349D19C9-7DF2-9A22-4008-24D79F3B83C6}</x14:id>
        </x:ext>
      </x:extLst>
    </x:cfRule>
  </x:conditionalFormatting>
  <x:conditionalFormatting sqref="M7:M26">
    <x:cfRule type="containsText" dxfId="10" priority="4" operator="containsText" text="Escalate"/>
    <x:cfRule type="containsText" dxfId="11" priority="5" operator="containsText" text="Investigate"/>
    <x:cfRule type="containsText" dxfId="12" priority="6" operator="containsText" text="Review"/>
  </x:conditionalFormatting>
  <x:pageMargins left="0.7" right="0.7" top="0.75" bottom="0.75" header="0.3" footer="0.3"/>
  <x:tableParts count="1">
    <x:tablePart xmlns:r="http://schemas.openxmlformats.org/officeDocument/2006/relationships" r:id="Rebb4de7e5a03415f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349D19C9-7DF2-9A22-4008-24D79F3B83C6}">
            <x14:dataBar gradient="1">
              <x14:cfvo type="min"/>
              <x14:cfvo type="max"/>
              <x14:fillColor rgb="FF2A9D8F"/>
            </x14:dataBar>
          </x14:cfRule>
          <xm:sqref>L7:L26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5" hidden="0" customWidth="1"/>
    <x:col min="3" max="3" width="18" hidden="0" customWidth="1"/>
    <x:col min="4" max="4" width="36" hidden="0" customWidth="1"/>
    <x:col min="5" max="5" width="68" hidden="0" customWidth="1"/>
    <x:col min="6" max="6" width="44" hidden="0" customWidth="1"/>
  </x:cols>
  <x:sheetData>
    <x:row r="1">
      <x:c r="A1" s="70" t="str">
        <x:v>Control Checks &amp; Model Notes</x:v>
      </x:c>
      <x:c r="B1" s="70" t="str">
        <x:v>Control Checks &amp; Model Notes</x:v>
      </x:c>
      <x:c r="C1" s="70" t="str">
        <x:v>Control Checks &amp; Model Notes</x:v>
      </x:c>
      <x:c r="D1" s="70" t="str">
        <x:v>Control Checks &amp; Model Notes</x:v>
      </x:c>
      <x:c r="E1" s="70" t="str">
        <x:v>Control Checks &amp; Model Notes</x:v>
      </x:c>
      <x:c r="F1" s="70" t="str">
        <x:v>Control Checks &amp; Model Notes</x:v>
      </x:c>
    </x:row>
    <x:row r="2">
      <x:c r="A2" s="70" t="str">
        <x:v>Control Checks &amp; Model Notes</x:v>
      </x:c>
      <x:c r="B2" s="70" t="str">
        <x:v>Control Checks &amp; Model Notes</x:v>
      </x:c>
      <x:c r="C2" s="70" t="str">
        <x:v>Control Checks &amp; Model Notes</x:v>
      </x:c>
      <x:c r="D2" s="70" t="str">
        <x:v>Control Checks &amp; Model Notes</x:v>
      </x:c>
      <x:c r="E2" s="70" t="str">
        <x:v>Control Checks &amp; Model Notes</x:v>
      </x:c>
      <x:c r="F2" s="70" t="str">
        <x:v>Control Checks &amp; Model Notes</x:v>
      </x:c>
    </x:row>
    <x:row r="3">
      <x:c r="A3" s="76" t="str">
        <x:v>Reconciliation checks must pass before the dashboard is used for review or presentation</x:v>
      </x:c>
      <x:c r="B3" s="76" t="str">
        <x:v>Reconciliation checks must pass before the dashboard is used for review or presentation</x:v>
      </x:c>
      <x:c r="C3" s="76" t="str">
        <x:v>Reconciliation checks must pass before the dashboard is used for review or presentation</x:v>
      </x:c>
      <x:c r="D3" s="76" t="str">
        <x:v>Reconciliation checks must pass before the dashboard is used for review or presentation</x:v>
      </x:c>
      <x:c r="E3" s="76" t="str">
        <x:v>Reconciliation checks must pass before the dashboard is used for review or presentation</x:v>
      </x:c>
      <x:c r="F3" s="76" t="str">
        <x:v>Reconciliation checks must pass before the dashboard is used for review or presentation</x:v>
      </x:c>
    </x:row>
    <x:row r="4">
      <x:c r="A4" s="1024" t="str">
        <x:v>MODEL STATUS</x:v>
      </x:c>
      <x:c r="B4" s="1038" t="str">
        <x:f>IF(COUNTIF(B8:B13,"FAIL")=0,"PASS","FAIL")</x:f>
        <x:v>PASS</x:v>
      </x:c>
      <x:c r="C4" s="1039"/>
      <x:c r="E4" s="44" t="str">
        <x:v>As-of</x:v>
      </x:c>
      <x:c r="F4" s="948" t="n">
        <x:f>'Dashboard'!$B$4</x:f>
        <x:v>46203</x:v>
      </x:c>
    </x:row>
    <x:row r="7">
      <x:c r="A7" s="38" t="str">
        <x:v>Check</x:v>
      </x:c>
      <x:c r="B7" s="662" t="str">
        <x:v>Status</x:v>
      </x:c>
      <x:c r="C7" s="662" t="str">
        <x:v>Delta</x:v>
      </x:c>
      <x:c r="D7" s="39" t="str">
        <x:v>Where to fix / Notes</x:v>
      </x:c>
    </x:row>
    <x:row r="8">
      <x:c r="A8" s="668" t="str">
        <x:v>Invoice rows tie to Source Data</x:v>
      </x:c>
      <x:c r="B8" s="668" t="str">
        <x:f>IF(ABS(C8)&lt;0.01,"PASS","FAIL")</x:f>
        <x:v>PASS</x:v>
      </x:c>
      <x:c r="C8" s="1044" t="n">
        <x:f>SUM('Customer Summary'!$B$7:$B$26)+COUNTIF('Invoice Detail'!$F$7:$F$56,"Closed")-COUNTA('Source Data'!$B$2:$B$51)</x:f>
        <x:v>0</x:v>
      </x:c>
      <x:c r="D8" s="668" t="str">
        <x:v>Source Data / Invoice Detail</x:v>
      </x:c>
    </x:row>
    <x:row r="9">
      <x:c r="A9" s="671" t="str">
        <x:v>Aging buckets tie to total open AR</x:v>
      </x:c>
      <x:c r="B9" s="671" t="str">
        <x:f>IF(ABS(C9)&lt;0.01,"PASS","FAIL")</x:f>
        <x:v>PASS</x:v>
      </x:c>
      <x:c r="C9" s="1045" t="n">
        <x:f>'Dashboard'!$A$7-SUM('Dashboard'!$B$17:$B$22)</x:f>
        <x:v>0</x:v>
      </x:c>
      <x:c r="D9" s="671" t="str">
        <x:v>Dashboard aging table</x:v>
      </x:c>
    </x:row>
    <x:row r="10">
      <x:c r="A10" s="671" t="str">
        <x:v>Customer summary ties to total open AR</x:v>
      </x:c>
      <x:c r="B10" s="671" t="str">
        <x:f>IF(ABS(C10)&lt;0.01,"PASS","FAIL")</x:f>
        <x:v>PASS</x:v>
      </x:c>
      <x:c r="C10" s="1045" t="n">
        <x:f>'Dashboard'!$A$7-SUM('Customer Summary'!$C$7:$C$26)</x:f>
        <x:v>0</x:v>
      </x:c>
      <x:c r="D10" s="671" t="str">
        <x:v>Customer Summary customer list</x:v>
      </x:c>
    </x:row>
    <x:row r="11">
      <x:c r="A11" s="671" t="str">
        <x:v>Overdue AR does not exceed positive AR</x:v>
      </x:c>
      <x:c r="B11" s="671" t="str">
        <x:f>IF(ABS(C11)&lt;0.01,"PASS","FAIL")</x:f>
        <x:v>PASS</x:v>
      </x:c>
      <x:c r="C11" s="1045" t="n">
        <x:f>MAX(0,'Dashboard'!$I$7-'Dashboard'!$E$7)</x:f>
        <x:v>0</x:v>
      </x:c>
      <x:c r="D11" s="671" t="str">
        <x:v>Invoice Detail overdue logic</x:v>
      </x:c>
    </x:row>
    <x:row r="12">
      <x:c r="A12" s="671" t="str">
        <x:v>Missing due dates are flagged</x:v>
      </x:c>
      <x:c r="B12" s="671" t="str">
        <x:f>IF(ABS(C12)&lt;0.01,"PASS","FAIL")</x:f>
        <x:v>PASS</x:v>
      </x:c>
      <x:c r="C12" s="1045" t="n">
        <x:f>COUNTIFS('Invoice Detail'!$J$7:$J$56,"Unknown",'Invoice Detail'!$L$7:$L$56,"&lt;&gt;Review")</x:f>
        <x:v>0</x:v>
      </x:c>
      <x:c r="D12" s="671" t="str">
        <x:v>Source Data due date or Invoice Detail exception</x:v>
      </x:c>
    </x:row>
    <x:row r="13">
      <x:c r="A13" s="671" t="str">
        <x:v>Negative balances are flagged</x:v>
      </x:c>
      <x:c r="B13" s="671" t="str">
        <x:f>IF(ABS(C13)&lt;0.01,"PASS","FAIL")</x:f>
        <x:v>PASS</x:v>
      </x:c>
      <x:c r="C13" s="1045" t="n">
        <x:f>COUNTIFS('Invoice Detail'!$E$7:$E$56,"&lt;0",'Invoice Detail'!$L$7:$L$56,"&lt;&gt;Review")</x:f>
        <x:v>0</x:v>
      </x:c>
      <x:c r="D13" s="671" t="str">
        <x:v>Source Data balance or credit memo review</x:v>
      </x:c>
    </x:row>
    <x:row r="16">
      <x:c r="A16" s="710" t="str">
        <x:v>REFRESH WORKFLOW</x:v>
      </x:c>
      <x:c r="B16" s="711" t="str">
        <x:v>REFRESH WORKFLOW</x:v>
      </x:c>
      <x:c r="C16" s="711" t="str">
        <x:v>REFRESH WORKFLOW</x:v>
      </x:c>
      <x:c r="D16" s="711" t="str">
        <x:v>REFRESH WORKFLOW</x:v>
      </x:c>
      <x:c r="E16" s="711" t="str">
        <x:v>REFRESH WORKFLOW</x:v>
      </x:c>
      <x:c r="F16" s="712" t="str">
        <x:v>REFRESH WORKFLOW</x:v>
      </x:c>
    </x:row>
    <x:row r="17">
      <x:c r="A17" s="1048" t="n">
        <x:v>1</x:v>
      </x:c>
      <x:c r="B17" s="48" t="str">
        <x:v>Update or replace invoice rows in Source Data columns A:G.</x:v>
      </x:c>
      <x:c r="C17" s="48"/>
      <x:c r="D17" s="48"/>
      <x:c r="E17" s="48"/>
      <x:c r="F17" s="48"/>
    </x:row>
    <x:row r="18">
      <x:c r="A18" s="1048" t="n">
        <x:v>2</x:v>
      </x:c>
      <x:c r="B18" s="48" t="str">
        <x:v>Set the reporting cutoff in Dashboard cell B4.</x:v>
      </x:c>
      <x:c r="C18" s="48"/>
      <x:c r="D18" s="48"/>
      <x:c r="E18" s="48"/>
      <x:c r="F18" s="48"/>
    </x:row>
    <x:row r="19">
      <x:c r="A19" s="1048" t="n">
        <x:v>3</x:v>
      </x:c>
      <x:c r="B19" s="48" t="str">
        <x:v>Add any new active customer names to blank rows in Customer Summary.</x:v>
      </x:c>
      <x:c r="C19" s="48"/>
      <x:c r="D19" s="48"/>
      <x:c r="E19" s="48"/>
      <x:c r="F19" s="48"/>
    </x:row>
    <x:row r="20">
      <x:c r="A20" s="1048" t="n">
        <x:v>4</x:v>
      </x:c>
      <x:c r="B20" s="48" t="str">
        <x:v>Confirm MODEL STATUS = PASS, then review dashboard exceptions and collection priorities.</x:v>
      </x:c>
      <x:c r="C20" s="48"/>
      <x:c r="D20" s="48"/>
      <x:c r="E20" s="48"/>
      <x:c r="F20" s="48"/>
    </x:row>
    <x:row r="23">
      <x:c r="A23" s="1058" t="str">
        <x:v>SOURCE LOG</x:v>
      </x:c>
      <x:c r="B23" s="1059" t="str">
        <x:v>SOURCE LOG</x:v>
      </x:c>
      <x:c r="C23" s="1059" t="str">
        <x:v>SOURCE LOG</x:v>
      </x:c>
      <x:c r="D23" s="1059" t="str">
        <x:v>SOURCE LOG</x:v>
      </x:c>
      <x:c r="E23" s="1059" t="str">
        <x:v>SOURCE LOG</x:v>
      </x:c>
      <x:c r="F23" s="1060" t="str">
        <x:v>SOURCE LOG</x:v>
      </x:c>
    </x:row>
    <x:row r="24">
      <x:c r="A24" s="1068" t="str">
        <x:v>Item</x:v>
      </x:c>
      <x:c r="B24" s="1068" t="str">
        <x:v>Period / As-of</x:v>
      </x:c>
      <x:c r="C24" s="1068" t="str">
        <x:v>Source Type</x:v>
      </x:c>
      <x:c r="D24" s="1068" t="str">
        <x:v>Source Name</x:v>
      </x:c>
      <x:c r="E24" s="1068" t="str">
        <x:v>Reference</x:v>
      </x:c>
      <x:c r="F24" s="1068" t="str">
        <x:v>Notes</x:v>
      </x:c>
    </x:row>
    <x:row r="25" ht="34" customHeight="1">
      <x:c r="A25" s="1069" t="str">
        <x:v>Invoice-level AR dataset</x:v>
      </x:c>
      <x:c r="B25" s="1070" t="n">
        <x:v>46203</x:v>
      </x:c>
      <x:c r="C25" s="1069" t="str">
        <x:v>Portfolio simulation</x:v>
      </x:c>
      <x:c r="D25" s="1069" t="str">
        <x:v>sample_ar_aging_data.csv</x:v>
      </x:c>
      <x:c r="E25" s="1074" t="str">
        <x:v>https://github.com/SanDAce07/accounting-projects-portfolio/blob/main/accounts-receivable/ar-aging-dashboard/sample_ar_aging_data.csv</x:v>
      </x:c>
      <x:c r="F25" s="1074" t="str">
        <x:v>Synthetic data for skills demonstration; not production accounting records.</x:v>
      </x:c>
    </x:row>
  </x:sheetData>
  <x:mergeCells>
    <x:mergeCell ref="A1:F2"/>
    <x:mergeCell ref="A3:F3"/>
    <x:mergeCell ref="B4:C4"/>
    <x:mergeCell ref="A16:F16"/>
    <x:mergeCell ref="B17:F17"/>
    <x:mergeCell ref="B18:F18"/>
    <x:mergeCell ref="B19:F19"/>
    <x:mergeCell ref="B20:F20"/>
    <x:mergeCell ref="A23:F23"/>
  </x:mergeCells>
  <x:conditionalFormatting sqref="B8:B13">
    <x:cfRule type="containsText" dxfId="13" priority="1" operator="containsText" text="PASS"/>
    <x:cfRule type="containsText" dxfId="14" priority="2" operator="containsText" text="FAIL"/>
  </x:conditionalFormatting>
  <x:pageMargins left="0.7" right="0.7" top="0.75" bottom="0.75" header="0.3" footer="0.3"/>
</x:worksheet>
</file>