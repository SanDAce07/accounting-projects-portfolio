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1568912f3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01576c4fb924809"/>
    <x:sheet xmlns:r="http://schemas.openxmlformats.org/officeDocument/2006/relationships" name="Reconciliation Summary" sheetId="2" r:id="R437441131e8c48fe"/>
    <x:sheet xmlns:r="http://schemas.openxmlformats.org/officeDocument/2006/relationships" name="Book Transactions" sheetId="3" r:id="R44f6334bc0d14593"/>
    <x:sheet xmlns:r="http://schemas.openxmlformats.org/officeDocument/2006/relationships" name="Bank Statement" sheetId="4" r:id="R9a78027eb75840db"/>
    <x:sheet xmlns:r="http://schemas.openxmlformats.org/officeDocument/2006/relationships" name="Matched Schedule" sheetId="5" r:id="R30b90ef8e5b64145"/>
    <x:sheet xmlns:r="http://schemas.openxmlformats.org/officeDocument/2006/relationships" name="Reconciling Items" sheetId="6" r:id="Rb3999d4e1a5c411a"/>
    <x:sheet xmlns:r="http://schemas.openxmlformats.org/officeDocument/2006/relationships" name="Journal Entries" sheetId="7" r:id="R719249186695495d"/>
  </x:sheets>
</x:workbook>
</file>

<file path=xl/comments1.xml><?xml version="1.0" encoding="utf-8"?>
<x:comments xmlns:x="http://schemas.openxmlformats.org/spreadsheetml/2006/main">
  <x:authors>
    <x:author>tc={D47D6196-2B34-6FCD-5449-4EFA88862194}</x:author>
  </x:authors>
  <x:commentList>
    <x:comment ref="A2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assumption is important for explaining why FEE-626 remains on the bank adjustment side instead of being booked again.</x:t>
        </x:r>
      </x:text>
    </x:comment>
  </x:commentList>
</x:comments>
</file>

<file path=xl/comments2.xml><?xml version="1.0" encoding="utf-8"?>
<x:comments xmlns:x="http://schemas.openxmlformats.org/spreadsheetml/2006/main">
  <x:authors>
    <x:author>tc={1E406F20-3BE4-B52E-83C1-EBEA063AB272}</x:author>
    <x:author>tc={AFDD623F-8E50-FC09-1F08-8C461A5BE8C9}</x:author>
  </x:authors>
  <x:commentList>
    <x:comment ref="B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Adjusted bank balance equals the ending bank balance plus all book-side timing differences from the Reconciling Items sheet.</x:t>
        </x:r>
      </x:text>
    </x:comment>
    <x:comment ref="B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Adjusted book balance equals the ending book balance plus all bank-only items that still need to be posted to the books.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;[Red]-&quot;$&quot;#,##0.00"/>
    <x:numFmt numFmtId="201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1F4E28"/>
      <x:name val="Carlito"/>
    </x:font>
    <x:font>
      <x:b/>
      <x:sz val="11"/>
      <x:color rgb="FF7F6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7FAFD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  <x:fill>
      <x:patternFill patternType="solid">
        <x:fgColor rgb="FF234F7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7C9E2"/>
      </x:left>
      <x:top style="thin">
        <x:color rgb="FFB7C9E2"/>
      </x:top>
      <x:bottom style="thin">
        <x:color rgb="FFB7C9E2"/>
      </x:bottom>
    </x:border>
    <x:border>
      <x:top style="thin">
        <x:color rgb="FFB7C9E2"/>
      </x:top>
      <x:bottom style="thin">
        <x:color rgb="FFB7C9E2"/>
      </x:bottom>
    </x:border>
    <x:border>
      <x:right style="thin">
        <x:color rgb="FFB7C9E2"/>
      </x:right>
      <x:top style="thin">
        <x:color rgb="FFB7C9E2"/>
      </x:top>
      <x:bottom style="thin">
        <x:color rgb="FFB7C9E2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C7D4E5"/>
      </x:left>
      <x:right style="thin">
        <x:color rgb="FFC7D4E5"/>
      </x:right>
      <x:top style="thin">
        <x:color rgb="FFC7D4E5"/>
      </x:top>
      <x:bottom style="thin">
        <x:color rgb="FFC7D4E5"/>
      </x:bottom>
    </x:border>
    <x:border>
      <x:left style="thin">
        <x:color rgb="FFB9D3A7"/>
      </x:left>
      <x:right style="thin">
        <x:color rgb="FFB9D3A7"/>
      </x:right>
      <x:top style="thin">
        <x:color rgb="FFB9D3A7"/>
      </x:top>
      <x:bottom style="thin">
        <x:color rgb="FFB9D3A7"/>
      </x:bottom>
    </x:border>
    <x:border>
      <x:left style="thin">
        <x:color rgb="FFE1C15A"/>
      </x:left>
      <x:top style="thin">
        <x:color rgb="FFE1C15A"/>
      </x:top>
      <x:bottom style="thin">
        <x:color rgb="FFE1C15A"/>
      </x:bottom>
    </x:border>
    <x:border>
      <x:top style="thin">
        <x:color rgb="FFE1C15A"/>
      </x:top>
      <x:bottom style="thin">
        <x:color rgb="FFE1C15A"/>
      </x:bottom>
    </x:border>
    <x:border>
      <x:right style="thin">
        <x:color rgb="FFE1C15A"/>
      </x:right>
      <x:top style="thin">
        <x:color rgb="FFE1C15A"/>
      </x:top>
      <x:bottom style="thin">
        <x:color rgb="FFE1C15A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5" xfId="0" applyNumberFormat="1" applyFont="1" applyFill="1" applyBorder="1"/>
    <x:xf numFmtId="0" fontId="3" fillId="7" borderId="5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left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200" fontId="3" fillId="4" borderId="5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/>
    <x:xf numFmtId="0" fontId="0" fillId="5" borderId="4" xfId="0" applyNumberFormat="1" applyFont="1" applyFill="1" applyBorder="1"/>
    <x:xf numFmtId="200" fontId="0" fillId="5" borderId="4" xfId="0" applyNumberFormat="1" applyFont="1" applyFill="1" applyBorder="1"/>
    <x:xf numFmtId="0" fontId="3" fillId="5" borderId="4" xfId="0" applyNumberFormat="1" applyFont="1" applyFill="1" applyBorder="1"/>
    <x:xf numFmtId="200" fontId="3" fillId="5" borderId="4" xfId="0" applyNumberFormat="1" applyFont="1" applyFill="1" applyBorder="1"/>
    <x:xf numFmtId="0" fontId="3" fillId="5" borderId="5" xfId="0" applyNumberFormat="1" applyFont="1" applyFill="1" applyBorder="1"/>
    <x:xf numFmtId="200" fontId="3" fillId="5" borderId="5" xfId="0" applyNumberFormat="1" applyFont="1" applyFill="1" applyBorder="1"/>
    <x:xf numFmtId="0" fontId="0" fillId="9" borderId="4" xfId="0" applyNumberFormat="1" applyFont="1" applyFill="1" applyBorder="1"/>
    <x:xf numFmtId="200" fontId="0" fillId="9" borderId="4" xfId="0" applyNumberFormat="1" applyFont="1" applyFill="1" applyBorder="1"/>
    <x:xf numFmtId="0" fontId="4" fillId="9" borderId="4" xfId="0" applyNumberFormat="1" applyFont="1" applyFill="1" applyBorder="1"/>
    <x:xf numFmtId="200" fontId="4" fillId="9" borderId="4" xfId="0" applyNumberFormat="1" applyFont="1" applyFill="1" applyBorder="1"/>
    <x:xf numFmtId="0" fontId="4" fillId="9" borderId="6" xfId="0" applyNumberFormat="1" applyFont="1" applyFill="1" applyBorder="1"/>
    <x:xf numFmtId="200" fontId="4" fillId="9" borderId="6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8" xfId="0" applyNumberFormat="1" applyFont="1" applyFill="1" applyBorder="1"/>
    <x:xf numFmtId="0" fontId="5" fillId="10" borderId="9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8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wrapText="1"/>
    </x:xf>
    <x:xf numFmtId="201" fontId="0" fillId="0" borderId="4" xfId="0" applyNumberFormat="1" applyFont="1" applyFill="1" applyBorder="1"/>
    <x:xf numFmtId="0" fontId="3" fillId="3" borderId="0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1F4E28"/>
      </x:font>
      <x:fill>
        <x:patternFill patternType="solid">
          <x:bgColor rgb="FFE2F0D9"/>
        </x:patternFill>
      </x:fill>
    </x:dxf>
    <x:dxf>
      <x:font>
        <x:b/>
        <x:color rgb="FF8A3B12"/>
      </x:font>
      <x:fill>
        <x:patternFill patternType="solid">
          <x:bgColor rgb="FFFCE4D6"/>
        </x:patternFill>
      </x:fill>
    </x:dxf>
    <x:dxf>
      <x:font>
        <x:b/>
        <x:color rgb="FF1F4E28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A3B12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24D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ac12139cc4e7f" /><Relationship Type="http://schemas.openxmlformats.org/officeDocument/2006/relationships/theme" Target="/xl/theme/theme1.xml" Id="R8fe1a717d62749e9" /><Relationship Type="http://schemas.openxmlformats.org/officeDocument/2006/relationships/sharedStrings" Target="/xl/sharedStrings.xml" Id="R00fbac1ce7dd43c0" /><Relationship Type="http://schemas.openxmlformats.org/officeDocument/2006/relationships/worksheet" Target="/xl/worksheets/sheet1.xml" Id="R201576c4fb924809" /><Relationship Type="http://schemas.openxmlformats.org/officeDocument/2006/relationships/worksheet" Target="/xl/worksheets/sheet2.xml" Id="R437441131e8c48fe" /><Relationship Type="http://schemas.openxmlformats.org/officeDocument/2006/relationships/worksheet" Target="/xl/worksheets/sheet3.xml" Id="R44f6334bc0d14593" /><Relationship Type="http://schemas.openxmlformats.org/officeDocument/2006/relationships/worksheet" Target="/xl/worksheets/sheet4.xml" Id="R9a78027eb75840db" /><Relationship Type="http://schemas.openxmlformats.org/officeDocument/2006/relationships/worksheet" Target="/xl/worksheets/sheet5.xml" Id="R30b90ef8e5b64145" /><Relationship Type="http://schemas.openxmlformats.org/officeDocument/2006/relationships/worksheet" Target="/xl/worksheets/sheet6.xml" Id="Rb3999d4e1a5c411a" /><Relationship Type="http://schemas.openxmlformats.org/officeDocument/2006/relationships/worksheet" Target="/xl/worksheets/sheet7.xml" Id="R719249186695495d" /><Relationship Type="http://schemas.microsoft.com/office/2017/10/relationships/person" Target="/xl/persons/person.xml" Id="R2f94a56616894dab" /></Relationships>
</file>

<file path=xl/persons/person.xml><?xml version="1.0" encoding="utf-8"?>
<xltc:personList xmlns:xltc="http://schemas.microsoft.com/office/spreadsheetml/2018/threadedcomments">
  <xltc:person displayName="SanDAce07" id="{6212753B-8120-4AF0-8E9C-243C5B9642B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0" dT="2026-06-29T05:42:22.238" personId="{6212753B-8120-4AF0-8E9C-243C5B9642B8}" id="{D47D6196-2B34-6FCD-5449-4EFA88862194}">
    <xltc:text>This assumption is important for explaining why FEE-626 remains on the bank adjustment side instead of being booked again.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9" dT="2026-06-29T05:42:22.237" personId="{6212753B-8120-4AF0-8E9C-243C5B9642B8}" id="{1E406F20-3BE4-B52E-83C1-EBEA063AB272}">
    <xltc:text>Adjusted bank balance equals the ending bank balance plus all book-side timing differences from the Reconciling Items sheet.</xltc:text>
  </xltc:threadedComment>
  <xltc:threadedComment ref="B10" dT="2026-06-29T05:42:22.238" personId="{6212753B-8120-4AF0-8E9C-243C5B9642B8}" id="{AFDD623F-8E50-FC09-1F08-8C461A5BE8C9}">
    <xltc:text>Adjusted book balance equals the ending book balance plus all bank-only items that still need to be posted to the books.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894ce7975984be5" /><Relationship Type="http://schemas.openxmlformats.org/officeDocument/2006/relationships/vmlDrawing" Target="/xl/drawings/vmldrawing.vml" Id="R5ae967bc36bb4607" /><Relationship Type="http://schemas.microsoft.com/office/2017/10/relationships/threadedComment" Target="/xl/threadedcomments/threadedcomment.xml" Id="R0ac4eabd2c9547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c478b0048b84067" /><Relationship Type="http://schemas.openxmlformats.org/officeDocument/2006/relationships/vmlDrawing" Target="/xl/drawings/vmldrawing2.vml" Id="Rcd7d70da76d546e9" /><Relationship Type="http://schemas.microsoft.com/office/2017/10/relationships/threadedComment" Target="/xl/threadedcomments/threadedcomment2.xml" Id="Re51c0c2d5b3749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48" hidden="0" customWidth="1"/>
  </x:cols>
  <x:sheetData>
    <x:row r="1" ht="16.799999237060547" hidden="0" customHeight="1">
      <x:c r="A1" s="4" t="str">
        <x:v>Bank Reconciliation Workbook Package</x:v>
      </x:c>
      <x:c r="B1" s="4"/>
      <x:c r="C1" s="4"/>
      <x:c r="D1" s="4"/>
      <x:c r="E1" s="4"/>
      <x:c r="F1" s="4"/>
      <x:c r="G1" s="4"/>
    </x:row>
    <x:row r="2" ht="15" hidden="0" customHeight="1">
      <x:c r="A2" s="7" t="str">
        <x:v>Project: June 2026 month-end reconciliation for SanDAce07/accounting-projects-portfolio</x:v>
      </x:c>
      <x:c r="B2" s="7"/>
      <x:c r="C2" s="7"/>
      <x:c r="D2" s="7"/>
      <x:c r="E2" s="7"/>
      <x:c r="F2" s="7"/>
      <x:c r="G2" s="7"/>
    </x:row>
    <x:row r="3"/>
    <x:row r="4" ht="15" hidden="0" customHeight="1">
      <x:c r="A4" s="16" t="str">
        <x:v>How to Use This Workbook</x:v>
      </x:c>
      <x:c r="B4" s="17"/>
      <x:c r="C4" s="17"/>
      <x:c r="D4" s="17"/>
      <x:c r="E4" s="17"/>
      <x:c r="F4" s="17"/>
      <x:c r="G4" s="18"/>
    </x:row>
    <x:row r="5" ht="15" hidden="0" customHeight="1">
      <x:c r="A5" s="23" t="str">
        <x:v>1</x:v>
      </x:c>
      <x:c r="B5" s="26" t="str">
        <x:v>Start on the Reconciliation Summary tab to review the tie-out, adjusted balances, and reconciliation status.</x:v>
      </x:c>
      <x:c r="C5" s="26"/>
      <x:c r="D5" s="26"/>
      <x:c r="E5" s="26"/>
      <x:c r="F5" s="26"/>
      <x:c r="G5" s="26"/>
    </x:row>
    <x:row r="6" ht="15" hidden="0" customHeight="1">
      <x:c r="A6" s="23" t="str">
        <x:v>2</x:v>
      </x:c>
      <x:c r="B6" s="26" t="str">
        <x:v>Review the Book Transactions and Bank Statement tabs for source activity and running balances.</x:v>
      </x:c>
      <x:c r="C6" s="26"/>
      <x:c r="D6" s="26"/>
      <x:c r="E6" s="26"/>
      <x:c r="F6" s="26"/>
      <x:c r="G6" s="26"/>
    </x:row>
    <x:row r="7" ht="15" hidden="0" customHeight="1">
      <x:c r="A7" s="23" t="str">
        <x:v>3</x:v>
      </x:c>
      <x:c r="B7" s="26" t="str">
        <x:v>Use the Matched Schedule and Reconciling Items tabs to trace timing differences and book-side adjustments.</x:v>
      </x:c>
      <x:c r="C7" s="26"/>
      <x:c r="D7" s="26"/>
      <x:c r="E7" s="26"/>
      <x:c r="F7" s="26"/>
      <x:c r="G7" s="26"/>
    </x:row>
    <x:row r="8" ht="15" hidden="0" customHeight="1">
      <x:c r="A8" s="23" t="str">
        <x:v>4</x:v>
      </x:c>
      <x:c r="B8" s="26" t="str">
        <x:v>Post the Journal Entries tab items before finalizing close. The timing differences should clear in the next statement cycle.</x:v>
      </x:c>
      <x:c r="C8" s="26"/>
      <x:c r="D8" s="26"/>
      <x:c r="E8" s="26"/>
      <x:c r="F8" s="26"/>
      <x:c r="G8" s="26"/>
    </x:row>
    <x:row r="9"/>
    <x:row r="10" ht="15" hidden="0" customHeight="1">
      <x:c r="A10" s="16" t="str">
        <x:v>Workbook Tabs</x:v>
      </x:c>
      <x:c r="B10" s="17"/>
      <x:c r="C10" s="17"/>
      <x:c r="D10" s="17"/>
      <x:c r="E10" s="17"/>
      <x:c r="F10" s="17"/>
      <x:c r="G10" s="18"/>
    </x:row>
    <x:row r="11" ht="15" hidden="0" customHeight="1">
      <x:c r="A11" s="32" t="str">
        <x:v>Sheet</x:v>
      </x:c>
      <x:c r="B11" s="32" t="str">
        <x:v>Purpose</x:v>
      </x:c>
      <x:c r="C11" s="32" t="str">
        <x:v>Key Formula or Output</x:v>
      </x:c>
    </x:row>
    <x:row r="12" ht="15" hidden="0" customHeight="1">
      <x:c r="A12" s="33" t="str">
        <x:v>Reconciliation Summary</x:v>
      </x:c>
      <x:c r="B12" s="35" t="str">
        <x:v>Tie-out and status dashboard.</x:v>
      </x:c>
      <x:c r="C12" s="35" t="str">
        <x:v>Adjusted cash balance and zero-difference check</x:v>
      </x:c>
    </x:row>
    <x:row r="13" ht="15" hidden="0" customHeight="1">
      <x:c r="A13" s="33" t="str">
        <x:v>Book Transactions</x:v>
      </x:c>
      <x:c r="B13" s="35" t="str">
        <x:v>Book-side cash ledger detail.</x:v>
      </x:c>
      <x:c r="C13" s="35" t="str">
        <x:v>Running balance in column F</x:v>
      </x:c>
    </x:row>
    <x:row r="14" ht="15" hidden="0" customHeight="1">
      <x:c r="A14" s="33" t="str">
        <x:v>Bank Statement</x:v>
      </x:c>
      <x:c r="B14" s="35" t="str">
        <x:v>Bank-side statement detail.</x:v>
      </x:c>
      <x:c r="C14" s="35" t="str">
        <x:v>Running balance in column F</x:v>
      </x:c>
    </x:row>
    <x:row r="15" ht="15" hidden="0" customHeight="1">
      <x:c r="A15" s="33" t="str">
        <x:v>Matched Schedule</x:v>
      </x:c>
      <x:c r="B15" s="35" t="str">
        <x:v>Match log plus open exceptions.</x:v>
      </x:c>
      <x:c r="C15" s="35" t="str">
        <x:v>Supports investigation trail</x:v>
      </x:c>
    </x:row>
    <x:row r="16" ht="15" hidden="0" customHeight="1">
      <x:c r="A16" s="33" t="str">
        <x:v>Reconciling Items</x:v>
      </x:c>
      <x:c r="B16" s="35" t="str">
        <x:v>Timing differences and adjustments.</x:v>
      </x:c>
      <x:c r="C16" s="35" t="str">
        <x:v>Feeds adjusted bank and book balances</x:v>
      </x:c>
    </x:row>
    <x:row r="17" ht="15" hidden="0" customHeight="1">
      <x:c r="A17" s="33" t="str">
        <x:v>Journal Entries</x:v>
      </x:c>
      <x:c r="B17" s="35" t="str">
        <x:v>Required close entries.</x:v>
      </x:c>
      <x:c r="C17" s="35" t="str">
        <x:v>Debit and credit totals should agree</x:v>
      </x:c>
    </x:row>
    <x:row r="18"/>
    <x:row r="19" ht="15" hidden="0" customHeight="1">
      <x:c r="A19" s="16" t="str">
        <x:v>Workbook Assumptions</x:v>
      </x:c>
      <x:c r="B19" s="17"/>
      <x:c r="C19" s="17"/>
      <x:c r="D19" s="17"/>
      <x:c r="E19" s="17"/>
      <x:c r="F19" s="17"/>
      <x:c r="G19" s="18"/>
    </x:row>
    <x:row r="20" ht="15" hidden="0" customHeight="1">
      <x:c r="A20" s="36" t="str">
        <x:v>- The merchant fee settlement `FEE-626` is treated as an outstanding book-side disbursement because no bank-side transaction appears as of 2026-06-30.</x:v>
      </x:c>
      <x:c r="B20" s="36"/>
      <x:c r="C20" s="36"/>
      <x:c r="D20" s="36"/>
      <x:c r="E20" s="36"/>
      <x:c r="F20" s="36"/>
      <x:c r="G20" s="36"/>
    </x:row>
    <x:row r="21" ht="15" hidden="0" customHeight="1">
      <x:c r="A21" s="36" t="str">
        <x:v>- Beginning balances are included in both source tabs so the running balances tie directly to the reported ending balances.</x:v>
      </x:c>
      <x:c r="B21" s="36"/>
      <x:c r="C21" s="36"/>
      <x:c r="D21" s="36"/>
      <x:c r="E21" s="36"/>
      <x:c r="F21" s="36"/>
      <x:c r="G21" s="36"/>
    </x:row>
    <x:row r="22" ht="15" hidden="0" customHeight="1">
      <x:c r="A22" s="36" t="str">
        <x:v>- Bank-only items on the Reconciling Items tab should be posted before the month-end close is finalized.</x:v>
      </x:c>
      <x:c r="B22" s="36"/>
      <x:c r="C22" s="36"/>
      <x:c r="D22" s="36"/>
      <x:c r="E22" s="36"/>
      <x:c r="F22" s="36"/>
      <x:c r="G22" s="36"/>
    </x:row>
    <x:row r="23" ht="15" hidden="0" customHeight="1">
      <x:c r="A23" s="36" t="str">
        <x:v>- The workbook is formula-ready: if the source amounts change, the Reconciliation Summary recalculates automatically.</x:v>
      </x:c>
      <x:c r="B23" s="36"/>
      <x:c r="C23" s="36"/>
      <x:c r="D23" s="36"/>
      <x:c r="E23" s="36"/>
      <x:c r="F23" s="36"/>
      <x:c r="G23" s="36"/>
    </x:row>
  </x:sheetData>
  <x:mergeCells>
    <x:mergeCell ref="A1:G1"/>
    <x:mergeCell ref="A2:G2"/>
    <x:mergeCell ref="A4:G4"/>
    <x:mergeCell ref="B5:G5"/>
    <x:mergeCell ref="B6:G6"/>
    <x:mergeCell ref="B7:G7"/>
    <x:mergeCell ref="B8:G8"/>
    <x:mergeCell ref="A10:G10"/>
    <x:mergeCell ref="A19:G19"/>
    <x:mergeCell ref="A20:G20"/>
    <x:mergeCell ref="A21:G21"/>
    <x:mergeCell ref="A22:G22"/>
    <x:mergeCell ref="A23:G23"/>
  </x:mergeCells>
  <x:pageMargins left="0.7" right="0.7" top="0.75" bottom="0.75" header="0.3" footer="0.3"/>
  <x:legacyDrawing xmlns:r="http://schemas.openxmlformats.org/officeDocument/2006/relationships" r:id="R5ae967bc36bb460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4" max="4" width="19" hidden="0" customWidth="1"/>
    <x:col min="5" max="5" width="25" hidden="0" customWidth="1"/>
    <x:col min="6" max="6" width="14" hidden="0" customWidth="1"/>
  </x:cols>
  <x:sheetData>
    <x:row r="1" ht="16.799999237060547" hidden="0" customHeight="1">
      <x:c r="A1" s="40" t="str">
        <x:v>June 2026 Bank Reconciliation Summary</x:v>
      </x:c>
      <x:c r="B1" s="40"/>
      <x:c r="C1" s="40"/>
      <x:c r="D1" s="40"/>
      <x:c r="E1" s="40"/>
      <x:c r="F1" s="40"/>
    </x:row>
    <x:row r="2" ht="15" hidden="0" customHeight="1">
      <x:c r="A2" s="7" t="str">
        <x:v>As-of date: 2026-06-30</x:v>
      </x:c>
      <x:c r="B2" s="7"/>
      <x:c r="C2" s="7"/>
      <x:c r="D2" s="7"/>
      <x:c r="E2" s="7"/>
      <x:c r="F2" s="7"/>
    </x:row>
    <x:row r="3"/>
    <x:row r="4" ht="15" hidden="0" customHeight="1">
      <x:c r="A4" s="16" t="str">
        <x:v>Key Balances</x:v>
      </x:c>
      <x:c r="B4" s="17"/>
      <x:c r="C4" s="18"/>
      <x:c r="D4" s="16" t="str">
        <x:v>Bank Balance Adjustments</x:v>
      </x:c>
      <x:c r="E4" s="17"/>
      <x:c r="F4" s="18"/>
    </x:row>
    <x:row r="5" ht="15" hidden="0" customHeight="1">
      <x:c r="A5" s="44" t="str">
        <x:v>Ending book balance</x:v>
      </x:c>
      <x:c r="B5" s="45" t="n">
        <x:f>SUM('Book Transactions'!$D$2:$D$14)</x:f>
        <x:v>68560</x:v>
      </x:c>
      <x:c r="D5" s="32" t="str">
        <x:v>Line Item</x:v>
      </x:c>
      <x:c r="E5" s="32" t="str">
        <x:v>Formula</x:v>
      </x:c>
      <x:c r="F5" s="32" t="str">
        <x:v>Amount</x:v>
      </x:c>
    </x:row>
    <x:row r="6" ht="15" hidden="0" customHeight="1">
      <x:c r="A6" s="33" t="str">
        <x:v>Ending bank balance</x:v>
      </x:c>
      <x:c r="B6" s="46" t="n">
        <x:f>SUM('Bank Statement'!$D$2:$D$14)</x:f>
        <x:v>64798.5</x:v>
      </x:c>
      <x:c r="D6" s="33" t="str">
        <x:v>Ending bank balance</x:v>
      </x:c>
      <x:c r="E6" s="33" t="str">
        <x:v>Linked from key balances</x:v>
      </x:c>
      <x:c r="F6" s="46" t="n">
        <x:f>B6</x:f>
        <x:v>64798.5</x:v>
      </x:c>
    </x:row>
    <x:row r="7" ht="15" hidden="0" customHeight="1">
      <x:c r="A7" s="33" t="str">
        <x:v>Book-side timing differences</x:v>
      </x:c>
      <x:c r="B7" s="46" t="n">
        <x:f>SUMIFS('Reconciling Items'!$F$2:$F$7,'Reconciling Items'!$B$2:$B$7,"Book")</x:f>
        <x:v>3155</x:v>
      </x:c>
      <x:c r="D7" s="33" t="str">
        <x:v>Deposit in transit</x:v>
      </x:c>
      <x:c r="E7" s="33" t="str">
        <x:v>Sum deposit in transit items</x:v>
      </x:c>
      <x:c r="F7" s="46" t="n">
        <x:f>SUMIFS('Reconciling Items'!$F$2:$F$7,'Reconciling Items'!$G$2:$G$7,"Deposit in transit")</x:f>
        <x:v>4200</x:v>
      </x:c>
    </x:row>
    <x:row r="8" ht="15" hidden="0" customHeight="1">
      <x:c r="A8" s="33" t="str">
        <x:v>Bank-side adjustments</x:v>
      </x:c>
      <x:c r="B8" s="46" t="n">
        <x:f>SUMIFS('Reconciling Items'!$F$2:$F$7,'Reconciling Items'!$B$2:$B$7,"Bank")</x:f>
        <x:v>-606.5</x:v>
      </x:c>
      <x:c r="D8" s="33" t="str">
        <x:v>Outstanding check</x:v>
      </x:c>
      <x:c r="E8" s="33" t="str">
        <x:v>Sum outstanding checks</x:v>
      </x:c>
      <x:c r="F8" s="46" t="n">
        <x:f>SUMIFS('Reconciling Items'!$F$2:$F$7,'Reconciling Items'!$G$2:$G$7,"Outstanding check")</x:f>
        <x:v>-980</x:v>
      </x:c>
    </x:row>
    <x:row r="9" ht="15" hidden="0" customHeight="1">
      <x:c r="A9" s="51" t="str">
        <x:v>Adjusted bank balance</x:v>
      </x:c>
      <x:c r="B9" s="52" t="n">
        <x:f>B6+B7</x:f>
        <x:v>67953.5</x:v>
      </x:c>
      <x:c r="D9" s="33" t="str">
        <x:v>Outstanding disbursement</x:v>
      </x:c>
      <x:c r="E9" s="33" t="str">
        <x:v>Sum outstanding disbursements</x:v>
      </x:c>
      <x:c r="F9" s="46" t="n">
        <x:f>SUMIFS('Reconciling Items'!$F$2:$F$7,'Reconciling Items'!$G$2:$G$7,"Outstanding disbursement")</x:f>
        <x:v>-65</x:v>
      </x:c>
    </x:row>
    <x:row r="10" ht="15" hidden="0" customHeight="1">
      <x:c r="A10" s="51" t="str">
        <x:v>Adjusted book balance</x:v>
      </x:c>
      <x:c r="B10" s="52" t="n">
        <x:f>B5+B8</x:f>
        <x:v>67953.5</x:v>
      </x:c>
    </x:row>
    <x:row r="11" ht="15" hidden="0" customHeight="1">
      <x:c r="A11" s="57" t="str">
        <x:v>Difference</x:v>
      </x:c>
      <x:c r="B11" s="58" t="n">
        <x:f>B10-B9</x:f>
        <x:v>0</x:v>
      </x:c>
      <x:c r="D11" s="16" t="str">
        <x:v>Book Balance Adjustments</x:v>
      </x:c>
      <x:c r="E11" s="17"/>
      <x:c r="F11" s="18"/>
    </x:row>
    <x:row r="12" ht="15" hidden="0" customHeight="1">
      <x:c r="A12" s="57" t="str">
        <x:v>Status</x:v>
      </x:c>
      <x:c r="B12" s="57" t="str">
        <x:f>IF(ABS(B11)&lt;0.005,"Reconciled","Investigate")</x:f>
        <x:v>Reconciled</x:v>
      </x:c>
      <x:c r="D12" s="32" t="str">
        <x:v>Line Item</x:v>
      </x:c>
      <x:c r="E12" s="32" t="str">
        <x:v>Formula</x:v>
      </x:c>
      <x:c r="F12" s="32" t="str">
        <x:v>Amount</x:v>
      </x:c>
    </x:row>
    <x:row r="13" ht="15" hidden="0" customHeight="1">
      <x:c r="D13" s="33" t="str">
        <x:v>Ending book balance</x:v>
      </x:c>
      <x:c r="E13" s="33" t="str">
        <x:v>Linked from key balances</x:v>
      </x:c>
      <x:c r="F13" s="46" t="n">
        <x:f>B5</x:f>
        <x:v>68560</x:v>
      </x:c>
    </x:row>
    <x:row r="14" ht="15" hidden="0" customHeight="1">
      <x:c r="D14" s="33" t="str">
        <x:v>Bank service charge</x:v>
      </x:c>
      <x:c r="E14" s="33" t="str">
        <x:v>Bank-only fee items</x:v>
      </x:c>
      <x:c r="F14" s="46" t="n">
        <x:f>SUMIFS('Reconciling Items'!$F$2:$F$7,'Reconciling Items'!$G$2:$G$7,"Bank-only service charge")</x:f>
        <x:v>-25</x:v>
      </x:c>
    </x:row>
    <x:row r="15" ht="15" hidden="0" customHeight="1">
      <x:c r="D15" s="33" t="str">
        <x:v>Interest earned</x:v>
      </x:c>
      <x:c r="E15" s="33" t="str">
        <x:v>Bank-only interest items</x:v>
      </x:c>
      <x:c r="F15" s="46" t="n">
        <x:f>SUMIFS('Reconciling Items'!$F$2:$F$7,'Reconciling Items'!$G$2:$G$7,"Bank-only interest credit")</x:f>
        <x:v>18.5</x:v>
      </x:c>
    </x:row>
    <x:row r="16" ht="15" hidden="0" customHeight="1">
      <x:c r="D16" s="33" t="str">
        <x:v>NSF reversal</x:v>
      </x:c>
      <x:c r="E16" s="33" t="str">
        <x:v>Bank-only NSF items</x:v>
      </x:c>
      <x:c r="F16" s="46" t="n">
        <x:f>SUMIFS('Reconciling Items'!$F$2:$F$7,'Reconciling Items'!$G$2:$G$7,"Bank-only NSF reversal")</x:f>
        <x:v>-600</x:v>
      </x:c>
    </x:row>
    <x:row r="17"/>
    <x:row r="18" ht="15" hidden="0" customHeight="1">
      <x:c r="A18" s="64" t="str">
        <x:v>Review point: the adjusted book and adjusted bank balances should agree to zero difference.</x:v>
      </x:c>
      <x:c r="B18" s="65"/>
      <x:c r="C18" s="65"/>
      <x:c r="D18" s="65"/>
      <x:c r="E18" s="65"/>
      <x:c r="F18" s="66"/>
    </x:row>
  </x:sheetData>
  <x:mergeCells>
    <x:mergeCell ref="A1:F1"/>
    <x:mergeCell ref="A2:F2"/>
    <x:mergeCell ref="A4:C4"/>
    <x:mergeCell ref="D4:F4"/>
    <x:mergeCell ref="D11:F11"/>
    <x:mergeCell ref="A18:F18"/>
  </x:mergeCells>
  <x:conditionalFormatting sqref="B12:B12">
    <x:cfRule type="cellIs" dxfId="0" priority="1" operator="equal">
      <x:formula>Reconciled</x:formula>
    </x:cfRule>
    <x:cfRule type="cellIs" dxfId="1" priority="2" operator="notEqual">
      <x:formula>Reconciled</x:formula>
    </x:cfRule>
  </x:conditionalFormatting>
  <x:pageMargins left="0.7" right="0.7" top="0.75" bottom="0.75" header="0.3" footer="0.3"/>
  <x:legacyDrawing xmlns:r="http://schemas.openxmlformats.org/officeDocument/2006/relationships" r:id="Rcd7d70da76d546e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33.439998626708984" hidden="0" customWidth="1"/>
    <x:col min="3" max="3" width="8.220000267028809" hidden="0" customWidth="1"/>
    <x:col min="4" max="4" width="8.670000076293945" hidden="0" customWidth="1"/>
    <x:col min="5" max="5" width="8.329999923706055" hidden="0" customWidth="1"/>
    <x:col min="6" max="6" width="12.890000343322754" hidden="0" customWidth="1"/>
  </x:cols>
  <x:sheetData>
    <x:row r="1" ht="15" hidden="0" customHeight="1">
      <x:c r="A1" s="32" t="str">
        <x:v>Transaction Date</x:v>
      </x:c>
      <x:c r="B1" s="32" t="str">
        <x:v>Description</x:v>
      </x:c>
      <x:c r="C1" s="32" t="str">
        <x:v>Reference</x:v>
      </x:c>
      <x:c r="D1" s="32" t="str">
        <x:v>Amount</x:v>
      </x:c>
      <x:c r="E1" s="32" t="str">
        <x:v>Type</x:v>
      </x:c>
      <x:c r="F1" s="32" t="str">
        <x:v>Running Balance</x:v>
      </x:c>
    </x:row>
    <x:row r="2" ht="15" hidden="0" customHeight="1">
      <x:c r="A2" s="67" t="n">
        <x:v>46174</x:v>
      </x:c>
      <x:c r="B2" s="33" t="str">
        <x:v>Beginning balance</x:v>
      </x:c>
      <x:c r="C2" s="33" t="str">
        <x:v>BALANCE</x:v>
      </x:c>
      <x:c r="D2" s="46" t="n">
        <x:v>25000</x:v>
      </x:c>
      <x:c r="E2" s="33" t="str">
        <x:v>Balance</x:v>
      </x:c>
      <x:c r="F2" s="46" t="n">
        <x:f>D2</x:f>
        <x:v>25000</x:v>
      </x:c>
    </x:row>
    <x:row r="3" ht="15" hidden="0" customHeight="1">
      <x:c r="A3" s="67" t="n">
        <x:v>46176</x:v>
      </x:c>
      <x:c r="B3" s="33" t="str">
        <x:v>Customer payment - Acadia Health Partners</x:v>
      </x:c>
      <x:c r="C3" s="33" t="str">
        <x:v>RCPT-201</x:v>
      </x:c>
      <x:c r="D3" s="46" t="n">
        <x:v>18250</x:v>
      </x:c>
      <x:c r="E3" s="33" t="str">
        <x:v>Deposit</x:v>
      </x:c>
      <x:c r="F3" s="46" t="n">
        <x:f>F2+D3</x:f>
        <x:v>43250</x:v>
      </x:c>
    </x:row>
    <x:row r="4" ht="15" hidden="0" customHeight="1">
      <x:c r="A4" s="67" t="n">
        <x:v>46177</x:v>
      </x:c>
      <x:c r="B4" s="33" t="str">
        <x:v>Office rent payment</x:v>
      </x:c>
      <x:c r="C4" s="33" t="str">
        <x:v>CHK-1045</x:v>
      </x:c>
      <x:c r="D4" s="46" t="n">
        <x:v>-3200</x:v>
      </x:c>
      <x:c r="E4" s="33" t="str">
        <x:v>Check</x:v>
      </x:c>
      <x:c r="F4" s="46" t="n">
        <x:f>F3+D4</x:f>
        <x:v>40050</x:v>
      </x:c>
    </x:row>
    <x:row r="5" ht="15" hidden="0" customHeight="1">
      <x:c r="A5" s="67" t="n">
        <x:v>46179</x:v>
      </x:c>
      <x:c r="B5" s="33" t="str">
        <x:v>Utility payment</x:v>
      </x:c>
      <x:c r="C5" s="33" t="str">
        <x:v>ACH-882</x:v>
      </x:c>
      <x:c r="D5" s="46" t="n">
        <x:v>-465</x:v>
      </x:c>
      <x:c r="E5" s="33" t="str">
        <x:v>ACH</x:v>
      </x:c>
      <x:c r="F5" s="46" t="n">
        <x:f>F4+D5</x:f>
        <x:v>39585</x:v>
      </x:c>
    </x:row>
    <x:row r="6" ht="15" hidden="0" customHeight="1">
      <x:c r="A6" s="67" t="n">
        <x:v>46181</x:v>
      </x:c>
      <x:c r="B6" s="33" t="str">
        <x:v>Customer payment - Evergreen Medical Labs</x:v>
      </x:c>
      <x:c r="C6" s="33" t="str">
        <x:v>RCPT-202</x:v>
      </x:c>
      <x:c r="D6" s="46" t="n">
        <x:v>14220</x:v>
      </x:c>
      <x:c r="E6" s="33" t="str">
        <x:v>Deposit</x:v>
      </x:c>
      <x:c r="F6" s="46" t="n">
        <x:f>F5+D6</x:f>
        <x:v>53805</x:v>
      </x:c>
    </x:row>
    <x:row r="7" ht="15" hidden="0" customHeight="1">
      <x:c r="A7" s="67" t="n">
        <x:v>46183</x:v>
      </x:c>
      <x:c r="B7" s="33" t="str">
        <x:v>Payroll disbursement</x:v>
      </x:c>
      <x:c r="C7" s="33" t="str">
        <x:v>PAY-610</x:v>
      </x:c>
      <x:c r="D7" s="46" t="n">
        <x:v>-8750</x:v>
      </x:c>
      <x:c r="E7" s="33" t="str">
        <x:v>ACH</x:v>
      </x:c>
      <x:c r="F7" s="46" t="n">
        <x:f>F6+D7</x:f>
        <x:v>45055</x:v>
      </x:c>
    </x:row>
    <x:row r="8" ht="15" hidden="0" customHeight="1">
      <x:c r="A8" s="67" t="n">
        <x:v>46185</x:v>
      </x:c>
      <x:c r="B8" s="33" t="str">
        <x:v>Insurance payment</x:v>
      </x:c>
      <x:c r="C8" s="33" t="str">
        <x:v>CHK-1046</x:v>
      </x:c>
      <x:c r="D8" s="46" t="n">
        <x:v>-1225</x:v>
      </x:c>
      <x:c r="E8" s="33" t="str">
        <x:v>Check</x:v>
      </x:c>
      <x:c r="F8" s="46" t="n">
        <x:f>F7+D8</x:f>
        <x:v>43830</x:v>
      </x:c>
    </x:row>
    <x:row r="9" ht="15" hidden="0" customHeight="1">
      <x:c r="A9" s="67" t="n">
        <x:v>46188</x:v>
      </x:c>
      <x:c r="B9" s="33" t="str">
        <x:v>Customer payment - Harbor Energy Co.</x:v>
      </x:c>
      <x:c r="C9" s="33" t="str">
        <x:v>RCPT-203</x:v>
      </x:c>
      <x:c r="D9" s="46" t="n">
        <x:v>8800</x:v>
      </x:c>
      <x:c r="E9" s="33" t="str">
        <x:v>Deposit</x:v>
      </x:c>
      <x:c r="F9" s="46" t="n">
        <x:f>F8+D9</x:f>
        <x:v>52630</x:v>
      </x:c>
    </x:row>
    <x:row r="10" ht="15" hidden="0" customHeight="1">
      <x:c r="A10" s="67" t="n">
        <x:v>46191</x:v>
      </x:c>
      <x:c r="B10" s="33" t="str">
        <x:v>Supplies purchase</x:v>
      </x:c>
      <x:c r="C10" s="33" t="str">
        <x:v>DBT-410</x:v>
      </x:c>
      <x:c r="D10" s="46" t="n">
        <x:v>-675</x:v>
      </x:c>
      <x:c r="E10" s="33" t="str">
        <x:v>Debit Card</x:v>
      </x:c>
      <x:c r="F10" s="46" t="n">
        <x:f>F9+D10</x:f>
        <x:v>51955</x:v>
      </x:c>
    </x:row>
    <x:row r="11" ht="15" hidden="0" customHeight="1">
      <x:c r="A11" s="67" t="n">
        <x:v>46194</x:v>
      </x:c>
      <x:c r="B11" s="33" t="str">
        <x:v>Customer payment - North Delta Equipment</x:v>
      </x:c>
      <x:c r="C11" s="33" t="str">
        <x:v>RCPT-204</x:v>
      </x:c>
      <x:c r="D11" s="46" t="n">
        <x:v>13450</x:v>
      </x:c>
      <x:c r="E11" s="33" t="str">
        <x:v>Deposit</x:v>
      </x:c>
      <x:c r="F11" s="46" t="n">
        <x:f>F10+D11</x:f>
        <x:v>65405</x:v>
      </x:c>
    </x:row>
    <x:row r="12" ht="15" hidden="0" customHeight="1">
      <x:c r="A12" s="67" t="n">
        <x:v>46196</x:v>
      </x:c>
      <x:c r="B12" s="33" t="str">
        <x:v>Equipment repair</x:v>
      </x:c>
      <x:c r="C12" s="33" t="str">
        <x:v>CHK-1047</x:v>
      </x:c>
      <x:c r="D12" s="46" t="n">
        <x:v>-980</x:v>
      </x:c>
      <x:c r="E12" s="33" t="str">
        <x:v>Check</x:v>
      </x:c>
      <x:c r="F12" s="46" t="n">
        <x:f>F11+D12</x:f>
        <x:v>64425</x:v>
      </x:c>
    </x:row>
    <x:row r="13" ht="15" hidden="0" customHeight="1">
      <x:c r="A13" s="67" t="n">
        <x:v>46199</x:v>
      </x:c>
      <x:c r="B13" s="33" t="str">
        <x:v>Merchant fee settlement</x:v>
      </x:c>
      <x:c r="C13" s="33" t="str">
        <x:v>FEE-626</x:v>
      </x:c>
      <x:c r="D13" s="46" t="n">
        <x:v>-65</x:v>
      </x:c>
      <x:c r="E13" s="33" t="str">
        <x:v>Fee</x:v>
      </x:c>
      <x:c r="F13" s="46" t="n">
        <x:f>F12+D13</x:f>
        <x:v>64360</x:v>
      </x:c>
    </x:row>
    <x:row r="14" ht="15" hidden="0" customHeight="1">
      <x:c r="A14" s="67" t="n">
        <x:v>46201</x:v>
      </x:c>
      <x:c r="B14" s="33" t="str">
        <x:v>Deposit made late in day</x:v>
      </x:c>
      <x:c r="C14" s="33" t="str">
        <x:v>DEP-628</x:v>
      </x:c>
      <x:c r="D14" s="46" t="n">
        <x:v>4200</x:v>
      </x:c>
      <x:c r="E14" s="33" t="str">
        <x:v>Deposit</x:v>
      </x:c>
      <x:c r="F14" s="46" t="n">
        <x:f>F13+D14</x:f>
        <x:v>68560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24.440000534057617" hidden="0" customWidth="1"/>
    <x:col min="3" max="3" width="12.109999656677246" hidden="0" customWidth="1"/>
    <x:col min="4" max="4" width="8.670000076293945" hidden="0" customWidth="1"/>
    <x:col min="5" max="5" width="8.329999923706055" hidden="0" customWidth="1"/>
    <x:col min="6" max="6" width="12.890000343322754" hidden="0" customWidth="1"/>
  </x:cols>
  <x:sheetData>
    <x:row r="1" ht="15" hidden="0" customHeight="1">
      <x:c r="A1" s="32" t="str">
        <x:v>Transaction Date</x:v>
      </x:c>
      <x:c r="B1" s="32" t="str">
        <x:v>Description</x:v>
      </x:c>
      <x:c r="C1" s="32" t="str">
        <x:v>Bank Reference</x:v>
      </x:c>
      <x:c r="D1" s="32" t="str">
        <x:v>Amount</x:v>
      </x:c>
      <x:c r="E1" s="32" t="str">
        <x:v>Type</x:v>
      </x:c>
      <x:c r="F1" s="32" t="str">
        <x:v>Running Balance</x:v>
      </x:c>
    </x:row>
    <x:row r="2" ht="15" hidden="0" customHeight="1">
      <x:c r="A2" s="67" t="n">
        <x:v>46174</x:v>
      </x:c>
      <x:c r="B2" s="33" t="str">
        <x:v>Beginning balance</x:v>
      </x:c>
      <x:c r="C2" s="33" t="str">
        <x:v>BALANCE</x:v>
      </x:c>
      <x:c r="D2" s="46" t="n">
        <x:v>25000</x:v>
      </x:c>
      <x:c r="E2" s="33" t="str">
        <x:v>Balance</x:v>
      </x:c>
      <x:c r="F2" s="46" t="n">
        <x:f>D2</x:f>
        <x:v>25000</x:v>
      </x:c>
    </x:row>
    <x:row r="3" ht="15" hidden="0" customHeight="1">
      <x:c r="A3" s="67" t="n">
        <x:v>46176</x:v>
      </x:c>
      <x:c r="B3" s="33" t="str">
        <x:v>Deposit credit</x:v>
      </x:c>
      <x:c r="C3" s="33" t="str">
        <x:v>BNK-5001</x:v>
      </x:c>
      <x:c r="D3" s="46" t="n">
        <x:v>18250</x:v>
      </x:c>
      <x:c r="E3" s="33" t="str">
        <x:v>Deposit</x:v>
      </x:c>
      <x:c r="F3" s="46" t="n">
        <x:f>F2+D3</x:f>
        <x:v>43250</x:v>
      </x:c>
    </x:row>
    <x:row r="4" ht="15" hidden="0" customHeight="1">
      <x:c r="A4" s="67" t="n">
        <x:v>46177</x:v>
      </x:c>
      <x:c r="B4" s="33" t="str">
        <x:v>Check cleared 1045</x:v>
      </x:c>
      <x:c r="C4" s="33" t="str">
        <x:v>BNK-5002</x:v>
      </x:c>
      <x:c r="D4" s="46" t="n">
        <x:v>-3200</x:v>
      </x:c>
      <x:c r="E4" s="33" t="str">
        <x:v>Check</x:v>
      </x:c>
      <x:c r="F4" s="46" t="n">
        <x:f>F3+D4</x:f>
        <x:v>40050</x:v>
      </x:c>
    </x:row>
    <x:row r="5" ht="15" hidden="0" customHeight="1">
      <x:c r="A5" s="67" t="n">
        <x:v>46179</x:v>
      </x:c>
      <x:c r="B5" s="33" t="str">
        <x:v>ACH debit utilities</x:v>
      </x:c>
      <x:c r="C5" s="33" t="str">
        <x:v>BNK-5003</x:v>
      </x:c>
      <x:c r="D5" s="46" t="n">
        <x:v>-465</x:v>
      </x:c>
      <x:c r="E5" s="33" t="str">
        <x:v>ACH</x:v>
      </x:c>
      <x:c r="F5" s="46" t="n">
        <x:f>F4+D5</x:f>
        <x:v>39585</x:v>
      </x:c>
    </x:row>
    <x:row r="6" ht="15" hidden="0" customHeight="1">
      <x:c r="A6" s="67" t="n">
        <x:v>46181</x:v>
      </x:c>
      <x:c r="B6" s="33" t="str">
        <x:v>Deposit credit</x:v>
      </x:c>
      <x:c r="C6" s="33" t="str">
        <x:v>BNK-5004</x:v>
      </x:c>
      <x:c r="D6" s="46" t="n">
        <x:v>14220</x:v>
      </x:c>
      <x:c r="E6" s="33" t="str">
        <x:v>Deposit</x:v>
      </x:c>
      <x:c r="F6" s="46" t="n">
        <x:f>F5+D6</x:f>
        <x:v>53805</x:v>
      </x:c>
    </x:row>
    <x:row r="7" ht="15" hidden="0" customHeight="1">
      <x:c r="A7" s="67" t="n">
        <x:v>46183</x:v>
      </x:c>
      <x:c r="B7" s="33" t="str">
        <x:v>Payroll ACH</x:v>
      </x:c>
      <x:c r="C7" s="33" t="str">
        <x:v>BNK-5005</x:v>
      </x:c>
      <x:c r="D7" s="46" t="n">
        <x:v>-8750</x:v>
      </x:c>
      <x:c r="E7" s="33" t="str">
        <x:v>ACH</x:v>
      </x:c>
      <x:c r="F7" s="46" t="n">
        <x:f>F6+D7</x:f>
        <x:v>45055</x:v>
      </x:c>
    </x:row>
    <x:row r="8" ht="15" hidden="0" customHeight="1">
      <x:c r="A8" s="67" t="n">
        <x:v>46185</x:v>
      </x:c>
      <x:c r="B8" s="33" t="str">
        <x:v>Check cleared 1046</x:v>
      </x:c>
      <x:c r="C8" s="33" t="str">
        <x:v>BNK-5006</x:v>
      </x:c>
      <x:c r="D8" s="46" t="n">
        <x:v>-1225</x:v>
      </x:c>
      <x:c r="E8" s="33" t="str">
        <x:v>Check</x:v>
      </x:c>
      <x:c r="F8" s="46" t="n">
        <x:f>F7+D8</x:f>
        <x:v>43830</x:v>
      </x:c>
    </x:row>
    <x:row r="9" ht="15" hidden="0" customHeight="1">
      <x:c r="A9" s="67" t="n">
        <x:v>46188</x:v>
      </x:c>
      <x:c r="B9" s="33" t="str">
        <x:v>Deposit credit</x:v>
      </x:c>
      <x:c r="C9" s="33" t="str">
        <x:v>BNK-5007</x:v>
      </x:c>
      <x:c r="D9" s="46" t="n">
        <x:v>8800</x:v>
      </x:c>
      <x:c r="E9" s="33" t="str">
        <x:v>Deposit</x:v>
      </x:c>
      <x:c r="F9" s="46" t="n">
        <x:f>F8+D9</x:f>
        <x:v>52630</x:v>
      </x:c>
    </x:row>
    <x:row r="10" ht="15" hidden="0" customHeight="1">
      <x:c r="A10" s="67" t="n">
        <x:v>46191</x:v>
      </x:c>
      <x:c r="B10" s="33" t="str">
        <x:v>Card purchase</x:v>
      </x:c>
      <x:c r="C10" s="33" t="str">
        <x:v>BNK-5008</x:v>
      </x:c>
      <x:c r="D10" s="46" t="n">
        <x:v>-675</x:v>
      </x:c>
      <x:c r="E10" s="33" t="str">
        <x:v>Debit Card</x:v>
      </x:c>
      <x:c r="F10" s="46" t="n">
        <x:f>F9+D10</x:f>
        <x:v>51955</x:v>
      </x:c>
    </x:row>
    <x:row r="11" ht="15" hidden="0" customHeight="1">
      <x:c r="A11" s="67" t="n">
        <x:v>46194</x:v>
      </x:c>
      <x:c r="B11" s="33" t="str">
        <x:v>Deposit credit</x:v>
      </x:c>
      <x:c r="C11" s="33" t="str">
        <x:v>BNK-5009</x:v>
      </x:c>
      <x:c r="D11" s="46" t="n">
        <x:v>13450</x:v>
      </x:c>
      <x:c r="E11" s="33" t="str">
        <x:v>Deposit</x:v>
      </x:c>
      <x:c r="F11" s="46" t="n">
        <x:f>F10+D11</x:f>
        <x:v>65405</x:v>
      </x:c>
    </x:row>
    <x:row r="12" ht="15" hidden="0" customHeight="1">
      <x:c r="A12" s="67" t="n">
        <x:v>46198</x:v>
      </x:c>
      <x:c r="B12" s="33" t="str">
        <x:v>Bank service charge</x:v>
      </x:c>
      <x:c r="C12" s="33" t="str">
        <x:v>BNK-5010</x:v>
      </x:c>
      <x:c r="D12" s="46" t="n">
        <x:v>-25</x:v>
      </x:c>
      <x:c r="E12" s="33" t="str">
        <x:v>Fee</x:v>
      </x:c>
      <x:c r="F12" s="46" t="n">
        <x:f>F11+D12</x:f>
        <x:v>65380</x:v>
      </x:c>
    </x:row>
    <x:row r="13" ht="15" hidden="0" customHeight="1">
      <x:c r="A13" s="67" t="n">
        <x:v>46200</x:v>
      </x:c>
      <x:c r="B13" s="33" t="str">
        <x:v>Interest earned</x:v>
      </x:c>
      <x:c r="C13" s="33" t="str">
        <x:v>BNK-5011</x:v>
      </x:c>
      <x:c r="D13" s="46" t="n">
        <x:v>18.5</x:v>
      </x:c>
      <x:c r="E13" s="33" t="str">
        <x:v>Interest</x:v>
      </x:c>
      <x:c r="F13" s="46" t="n">
        <x:f>F12+D13</x:f>
        <x:v>65398.5</x:v>
      </x:c>
    </x:row>
    <x:row r="14" ht="15" hidden="0" customHeight="1">
      <x:c r="A14" s="67" t="n">
        <x:v>46203</x:v>
      </x:c>
      <x:c r="B14" s="33" t="str">
        <x:v>NSF customer payment reversed</x:v>
      </x:c>
      <x:c r="C14" s="33" t="str">
        <x:v>BNK-5012</x:v>
      </x:c>
      <x:c r="D14" s="46" t="n">
        <x:v>-600</x:v>
      </x:c>
      <x:c r="E14" s="33" t="str">
        <x:v>NSF</x:v>
      </x:c>
      <x:c r="F14" s="46" t="n">
        <x:f>F13+D14</x:f>
        <x:v>64798.5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" hidden="0" customWidth="1"/>
    <x:col min="3" max="3" width="33.439998626708984" hidden="0" customWidth="1"/>
    <x:col min="4" max="4" width="12.220000267028809" hidden="0" customWidth="1"/>
    <x:col min="5" max="5" width="10.4399995803833" hidden="0" customWidth="1"/>
    <x:col min="6" max="6" width="9" hidden="0" customWidth="1"/>
    <x:col min="7" max="7" width="24.440000534057617" hidden="0" customWidth="1"/>
    <x:col min="8" max="8" width="12.109999656677246" hidden="0" customWidth="1"/>
    <x:col min="9" max="9" width="10.4399995803833" hidden="0" customWidth="1"/>
    <x:col min="10" max="10" width="27.889999389648438" hidden="0" customWidth="1"/>
    <x:col min="11" max="11" width="34.439998626708984" hidden="0" customWidth="1"/>
  </x:cols>
  <x:sheetData>
    <x:row r="1" ht="15" hidden="0" customHeight="1">
      <x:c r="A1" s="32" t="str">
        <x:v>Status</x:v>
      </x:c>
      <x:c r="B1" s="32" t="str">
        <x:v>Book Date</x:v>
      </x:c>
      <x:c r="C1" s="32" t="str">
        <x:v>Book Description</x:v>
      </x:c>
      <x:c r="D1" s="32" t="str">
        <x:v>Book Reference</x:v>
      </x:c>
      <x:c r="E1" s="32" t="str">
        <x:v>Book Amount</x:v>
      </x:c>
      <x:c r="F1" s="32" t="str">
        <x:v>Bank Date</x:v>
      </x:c>
      <x:c r="G1" s="32" t="str">
        <x:v>Bank Description</x:v>
      </x:c>
      <x:c r="H1" s="32" t="str">
        <x:v>Bank Reference</x:v>
      </x:c>
      <x:c r="I1" s="32" t="str">
        <x:v>Bank Amount</x:v>
      </x:c>
      <x:c r="J1" s="32" t="str">
        <x:v>Match Basis</x:v>
      </x:c>
      <x:c r="K1" s="32" t="str">
        <x:v>Reconciliation Note</x:v>
      </x:c>
    </x:row>
    <x:row r="2" ht="15" hidden="0" customHeight="1">
      <x:c r="A2" s="33" t="str">
        <x:v>Matched</x:v>
      </x:c>
      <x:c r="B2" s="67" t="n">
        <x:v>46174</x:v>
      </x:c>
      <x:c r="C2" s="33" t="str">
        <x:v>Beginning balance</x:v>
      </x:c>
      <x:c r="D2" s="33" t="str">
        <x:v>BALANCE</x:v>
      </x:c>
      <x:c r="E2" s="46" t="n">
        <x:v>25000</x:v>
      </x:c>
      <x:c r="F2" s="67" t="n">
        <x:v>46174</x:v>
      </x:c>
      <x:c r="G2" s="33" t="str">
        <x:v>Beginning balance</x:v>
      </x:c>
      <x:c r="H2" s="33" t="str">
        <x:v>BALANCE</x:v>
      </x:c>
      <x:c r="I2" s="46" t="n">
        <x:v>25000</x:v>
      </x:c>
      <x:c r="J2" s="34" t="str">
        <x:v>Exact date and amount</x:v>
      </x:c>
      <x:c r="K2" s="34" t="str">
        <x:v>Opening balance agrees</x:v>
      </x:c>
    </x:row>
    <x:row r="3" ht="15" hidden="0" customHeight="1">
      <x:c r="A3" s="33" t="str">
        <x:v>Matched</x:v>
      </x:c>
      <x:c r="B3" s="67" t="n">
        <x:v>46176</x:v>
      </x:c>
      <x:c r="C3" s="33" t="str">
        <x:v>Customer payment - Acadia Health Partners</x:v>
      </x:c>
      <x:c r="D3" s="33" t="str">
        <x:v>RCPT-201</x:v>
      </x:c>
      <x:c r="E3" s="46" t="n">
        <x:v>18250</x:v>
      </x:c>
      <x:c r="F3" s="67" t="n">
        <x:v>46176</x:v>
      </x:c>
      <x:c r="G3" s="33" t="str">
        <x:v>Deposit credit</x:v>
      </x:c>
      <x:c r="H3" s="33" t="str">
        <x:v>BNK-5001</x:v>
      </x:c>
      <x:c r="I3" s="46" t="n">
        <x:v>18250</x:v>
      </x:c>
      <x:c r="J3" s="34" t="str">
        <x:v>Exact date and amount</x:v>
      </x:c>
      <x:c r="K3" s="34" t="str">
        <x:v>Customer receipt cleared bank</x:v>
      </x:c>
    </x:row>
    <x:row r="4" ht="15" hidden="0" customHeight="1">
      <x:c r="A4" s="33" t="str">
        <x:v>Matched</x:v>
      </x:c>
      <x:c r="B4" s="67" t="n">
        <x:v>46177</x:v>
      </x:c>
      <x:c r="C4" s="33" t="str">
        <x:v>Office rent payment</x:v>
      </x:c>
      <x:c r="D4" s="33" t="str">
        <x:v>CHK-1045</x:v>
      </x:c>
      <x:c r="E4" s="46" t="n">
        <x:v>-3200</x:v>
      </x:c>
      <x:c r="F4" s="67" t="n">
        <x:v>46177</x:v>
      </x:c>
      <x:c r="G4" s="33" t="str">
        <x:v>Check cleared 1045</x:v>
      </x:c>
      <x:c r="H4" s="33" t="str">
        <x:v>BNK-5002</x:v>
      </x:c>
      <x:c r="I4" s="46" t="n">
        <x:v>-3200</x:v>
      </x:c>
      <x:c r="J4" s="34" t="str">
        <x:v>Amount and cleared check number</x:v>
      </x:c>
      <x:c r="K4" s="34" t="str">
        <x:v>Cash disbursement cleared bank</x:v>
      </x:c>
    </x:row>
    <x:row r="5" ht="15" hidden="0" customHeight="1">
      <x:c r="A5" s="33" t="str">
        <x:v>Matched</x:v>
      </x:c>
      <x:c r="B5" s="67" t="n">
        <x:v>46179</x:v>
      </x:c>
      <x:c r="C5" s="33" t="str">
        <x:v>Utility payment</x:v>
      </x:c>
      <x:c r="D5" s="33" t="str">
        <x:v>ACH-882</x:v>
      </x:c>
      <x:c r="E5" s="46" t="n">
        <x:v>-465</x:v>
      </x:c>
      <x:c r="F5" s="67" t="n">
        <x:v>46179</x:v>
      </x:c>
      <x:c r="G5" s="33" t="str">
        <x:v>ACH debit utilities</x:v>
      </x:c>
      <x:c r="H5" s="33" t="str">
        <x:v>BNK-5003</x:v>
      </x:c>
      <x:c r="I5" s="46" t="n">
        <x:v>-465</x:v>
      </x:c>
      <x:c r="J5" s="34" t="str">
        <x:v>Exact date and amount</x:v>
      </x:c>
      <x:c r="K5" s="34" t="str">
        <x:v>ACH payment cleared bank</x:v>
      </x:c>
    </x:row>
    <x:row r="6" ht="15" hidden="0" customHeight="1">
      <x:c r="A6" s="33" t="str">
        <x:v>Matched</x:v>
      </x:c>
      <x:c r="B6" s="67" t="n">
        <x:v>46181</x:v>
      </x:c>
      <x:c r="C6" s="33" t="str">
        <x:v>Customer payment - Evergreen Medical Labs</x:v>
      </x:c>
      <x:c r="D6" s="33" t="str">
        <x:v>RCPT-202</x:v>
      </x:c>
      <x:c r="E6" s="46" t="n">
        <x:v>14220</x:v>
      </x:c>
      <x:c r="F6" s="67" t="n">
        <x:v>46181</x:v>
      </x:c>
      <x:c r="G6" s="33" t="str">
        <x:v>Deposit credit</x:v>
      </x:c>
      <x:c r="H6" s="33" t="str">
        <x:v>BNK-5004</x:v>
      </x:c>
      <x:c r="I6" s="46" t="n">
        <x:v>14220</x:v>
      </x:c>
      <x:c r="J6" s="34" t="str">
        <x:v>Exact date and amount</x:v>
      </x:c>
      <x:c r="K6" s="34" t="str">
        <x:v>Customer receipt cleared bank</x:v>
      </x:c>
    </x:row>
    <x:row r="7" ht="15" hidden="0" customHeight="1">
      <x:c r="A7" s="33" t="str">
        <x:v>Matched</x:v>
      </x:c>
      <x:c r="B7" s="67" t="n">
        <x:v>46183</x:v>
      </x:c>
      <x:c r="C7" s="33" t="str">
        <x:v>Payroll disbursement</x:v>
      </x:c>
      <x:c r="D7" s="33" t="str">
        <x:v>PAY-610</x:v>
      </x:c>
      <x:c r="E7" s="46" t="n">
        <x:v>-8750</x:v>
      </x:c>
      <x:c r="F7" s="67" t="n">
        <x:v>46183</x:v>
      </x:c>
      <x:c r="G7" s="33" t="str">
        <x:v>Payroll ACH</x:v>
      </x:c>
      <x:c r="H7" s="33" t="str">
        <x:v>BNK-5005</x:v>
      </x:c>
      <x:c r="I7" s="46" t="n">
        <x:v>-8750</x:v>
      </x:c>
      <x:c r="J7" s="34" t="str">
        <x:v>Exact date and amount</x:v>
      </x:c>
      <x:c r="K7" s="34" t="str">
        <x:v>Payroll cleared bank</x:v>
      </x:c>
    </x:row>
    <x:row r="8" ht="15" hidden="0" customHeight="1">
      <x:c r="A8" s="33" t="str">
        <x:v>Matched</x:v>
      </x:c>
      <x:c r="B8" s="67" t="n">
        <x:v>46185</x:v>
      </x:c>
      <x:c r="C8" s="33" t="str">
        <x:v>Insurance payment</x:v>
      </x:c>
      <x:c r="D8" s="33" t="str">
        <x:v>CHK-1046</x:v>
      </x:c>
      <x:c r="E8" s="46" t="n">
        <x:v>-1225</x:v>
      </x:c>
      <x:c r="F8" s="67" t="n">
        <x:v>46185</x:v>
      </x:c>
      <x:c r="G8" s="33" t="str">
        <x:v>Check cleared 1046</x:v>
      </x:c>
      <x:c r="H8" s="33" t="str">
        <x:v>BNK-5006</x:v>
      </x:c>
      <x:c r="I8" s="46" t="n">
        <x:v>-1225</x:v>
      </x:c>
      <x:c r="J8" s="34" t="str">
        <x:v>Amount and cleared check number</x:v>
      </x:c>
      <x:c r="K8" s="34" t="str">
        <x:v>Cash disbursement cleared bank</x:v>
      </x:c>
    </x:row>
    <x:row r="9" ht="15" hidden="0" customHeight="1">
      <x:c r="A9" s="33" t="str">
        <x:v>Matched</x:v>
      </x:c>
      <x:c r="B9" s="67" t="n">
        <x:v>46188</x:v>
      </x:c>
      <x:c r="C9" s="33" t="str">
        <x:v>Customer payment - Harbor Energy Co.</x:v>
      </x:c>
      <x:c r="D9" s="33" t="str">
        <x:v>RCPT-203</x:v>
      </x:c>
      <x:c r="E9" s="46" t="n">
        <x:v>8800</x:v>
      </x:c>
      <x:c r="F9" s="67" t="n">
        <x:v>46188</x:v>
      </x:c>
      <x:c r="G9" s="33" t="str">
        <x:v>Deposit credit</x:v>
      </x:c>
      <x:c r="H9" s="33" t="str">
        <x:v>BNK-5007</x:v>
      </x:c>
      <x:c r="I9" s="46" t="n">
        <x:v>8800</x:v>
      </x:c>
      <x:c r="J9" s="34" t="str">
        <x:v>Exact date and amount</x:v>
      </x:c>
      <x:c r="K9" s="34" t="str">
        <x:v>Customer receipt cleared bank</x:v>
      </x:c>
    </x:row>
    <x:row r="10" ht="15" hidden="0" customHeight="1">
      <x:c r="A10" s="33" t="str">
        <x:v>Matched</x:v>
      </x:c>
      <x:c r="B10" s="67" t="n">
        <x:v>46191</x:v>
      </x:c>
      <x:c r="C10" s="33" t="str">
        <x:v>Supplies purchase</x:v>
      </x:c>
      <x:c r="D10" s="33" t="str">
        <x:v>DBT-410</x:v>
      </x:c>
      <x:c r="E10" s="46" t="n">
        <x:v>-675</x:v>
      </x:c>
      <x:c r="F10" s="67" t="n">
        <x:v>46191</x:v>
      </x:c>
      <x:c r="G10" s="33" t="str">
        <x:v>Card purchase</x:v>
      </x:c>
      <x:c r="H10" s="33" t="str">
        <x:v>BNK-5008</x:v>
      </x:c>
      <x:c r="I10" s="46" t="n">
        <x:v>-675</x:v>
      </x:c>
      <x:c r="J10" s="34" t="str">
        <x:v>Exact date and amount</x:v>
      </x:c>
      <x:c r="K10" s="34" t="str">
        <x:v>Card purchase cleared bank</x:v>
      </x:c>
    </x:row>
    <x:row r="11" ht="15" hidden="0" customHeight="1">
      <x:c r="A11" s="33" t="str">
        <x:v>Matched</x:v>
      </x:c>
      <x:c r="B11" s="67" t="n">
        <x:v>46194</x:v>
      </x:c>
      <x:c r="C11" s="33" t="str">
        <x:v>Customer payment - North Delta Equipment</x:v>
      </x:c>
      <x:c r="D11" s="33" t="str">
        <x:v>RCPT-204</x:v>
      </x:c>
      <x:c r="E11" s="46" t="n">
        <x:v>13450</x:v>
      </x:c>
      <x:c r="F11" s="67" t="n">
        <x:v>46194</x:v>
      </x:c>
      <x:c r="G11" s="33" t="str">
        <x:v>Deposit credit</x:v>
      </x:c>
      <x:c r="H11" s="33" t="str">
        <x:v>BNK-5009</x:v>
      </x:c>
      <x:c r="I11" s="46" t="n">
        <x:v>13450</x:v>
      </x:c>
      <x:c r="J11" s="34" t="str">
        <x:v>Exact date and amount</x:v>
      </x:c>
      <x:c r="K11" s="34" t="str">
        <x:v>Customer receipt cleared bank</x:v>
      </x:c>
    </x:row>
    <x:row r="12" ht="15" hidden="0" customHeight="1">
      <x:c r="A12" s="33" t="str">
        <x:v>Book Only</x:v>
      </x:c>
      <x:c r="B12" s="67" t="n">
        <x:v>46196</x:v>
      </x:c>
      <x:c r="C12" s="33" t="str">
        <x:v>Equipment repair</x:v>
      </x:c>
      <x:c r="D12" s="33" t="str">
        <x:v>CHK-1047</x:v>
      </x:c>
      <x:c r="E12" s="46" t="n">
        <x:v>-980</x:v>
      </x:c>
      <x:c r="F12" s="67"/>
      <x:c r="G12" s="33"/>
      <x:c r="H12" s="33"/>
      <x:c r="I12" s="46"/>
      <x:c r="J12" s="34" t="str">
        <x:v>Recorded in books only at period end</x:v>
      </x:c>
      <x:c r="K12" s="34" t="str">
        <x:v>Outstanding check</x:v>
      </x:c>
    </x:row>
    <x:row r="13" ht="15" hidden="0" customHeight="1">
      <x:c r="A13" s="33" t="str">
        <x:v>Book Only</x:v>
      </x:c>
      <x:c r="B13" s="67" t="n">
        <x:v>46199</x:v>
      </x:c>
      <x:c r="C13" s="33" t="str">
        <x:v>Merchant fee settlement</x:v>
      </x:c>
      <x:c r="D13" s="33" t="str">
        <x:v>FEE-626</x:v>
      </x:c>
      <x:c r="E13" s="46" t="n">
        <x:v>-65</x:v>
      </x:c>
      <x:c r="F13" s="67"/>
      <x:c r="G13" s="33"/>
      <x:c r="H13" s="33"/>
      <x:c r="I13" s="46"/>
      <x:c r="J13" s="34" t="str">
        <x:v>Recorded in books only at period end</x:v>
      </x:c>
      <x:c r="K13" s="34" t="str">
        <x:v>Assumed pending disbursement</x:v>
      </x:c>
    </x:row>
    <x:row r="14" ht="15" hidden="0" customHeight="1">
      <x:c r="A14" s="33" t="str">
        <x:v>Book Only</x:v>
      </x:c>
      <x:c r="B14" s="67" t="n">
        <x:v>46201</x:v>
      </x:c>
      <x:c r="C14" s="33" t="str">
        <x:v>Deposit made late in day</x:v>
      </x:c>
      <x:c r="D14" s="33" t="str">
        <x:v>DEP-628</x:v>
      </x:c>
      <x:c r="E14" s="46" t="n">
        <x:v>4200</x:v>
      </x:c>
      <x:c r="F14" s="67"/>
      <x:c r="G14" s="33"/>
      <x:c r="H14" s="33"/>
      <x:c r="I14" s="46"/>
      <x:c r="J14" s="34" t="str">
        <x:v>Recorded in books only at period end</x:v>
      </x:c>
      <x:c r="K14" s="34" t="str">
        <x:v>Deposit in transit</x:v>
      </x:c>
    </x:row>
    <x:row r="15" ht="15" hidden="0" customHeight="1">
      <x:c r="A15" s="33" t="str">
        <x:v>Bank Only</x:v>
      </x:c>
      <x:c r="B15" s="67"/>
      <x:c r="C15" s="33"/>
      <x:c r="D15" s="33"/>
      <x:c r="E15" s="46"/>
      <x:c r="F15" s="67" t="n">
        <x:v>46198</x:v>
      </x:c>
      <x:c r="G15" s="33" t="str">
        <x:v>Bank service charge</x:v>
      </x:c>
      <x:c r="H15" s="33" t="str">
        <x:v>BNK-5010</x:v>
      </x:c>
      <x:c r="I15" s="46" t="n">
        <x:v>-25</x:v>
      </x:c>
      <x:c r="J15" s="34" t="str">
        <x:v>Recorded on bank statement only</x:v>
      </x:c>
      <x:c r="K15" s="34" t="str">
        <x:v>Book journal entry required</x:v>
      </x:c>
    </x:row>
    <x:row r="16" ht="15" hidden="0" customHeight="1">
      <x:c r="A16" s="33" t="str">
        <x:v>Bank Only</x:v>
      </x:c>
      <x:c r="B16" s="67"/>
      <x:c r="C16" s="33"/>
      <x:c r="D16" s="33"/>
      <x:c r="E16" s="46"/>
      <x:c r="F16" s="67" t="n">
        <x:v>46200</x:v>
      </x:c>
      <x:c r="G16" s="33" t="str">
        <x:v>Interest earned</x:v>
      </x:c>
      <x:c r="H16" s="33" t="str">
        <x:v>BNK-5011</x:v>
      </x:c>
      <x:c r="I16" s="46" t="n">
        <x:v>18.5</x:v>
      </x:c>
      <x:c r="J16" s="34" t="str">
        <x:v>Recorded on bank statement only</x:v>
      </x:c>
      <x:c r="K16" s="34" t="str">
        <x:v>Book journal entry required</x:v>
      </x:c>
    </x:row>
    <x:row r="17" ht="15" hidden="0" customHeight="1">
      <x:c r="A17" s="33" t="str">
        <x:v>Bank Only</x:v>
      </x:c>
      <x:c r="B17" s="67"/>
      <x:c r="C17" s="33"/>
      <x:c r="D17" s="33"/>
      <x:c r="E17" s="46"/>
      <x:c r="F17" s="67" t="n">
        <x:v>46203</x:v>
      </x:c>
      <x:c r="G17" s="33" t="str">
        <x:v>NSF customer payment reversed</x:v>
      </x:c>
      <x:c r="H17" s="33" t="str">
        <x:v>BNK-5012</x:v>
      </x:c>
      <x:c r="I17" s="46" t="n">
        <x:v>-600</x:v>
      </x:c>
      <x:c r="J17" s="34" t="str">
        <x:v>Recorded on bank statement only</x:v>
      </x:c>
      <x:c r="K17" s="34" t="str">
        <x:v>Reverse customer receipt or reopen receivable</x:v>
      </x:c>
    </x:row>
  </x:sheetData>
  <x:conditionalFormatting sqref="A2:A17">
    <x:cfRule type="containsText" dxfId="2" priority="1" operator="containsText" text="Matched"/>
    <x:cfRule type="containsText" dxfId="3" priority="2" operator="containsText" text="Book Only"/>
    <x:cfRule type="containsText" dxfId="4" priority="3" operator="containsText" text="Bank Only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9.329999923706055" hidden="0" customWidth="1"/>
    <x:col min="3" max="3" width="12.779999732971191" hidden="0" customWidth="1"/>
    <x:col min="4" max="4" width="24.440000534057617" hidden="0" customWidth="1"/>
    <x:col min="5" max="5" width="8.220000267028809" hidden="0" customWidth="1"/>
    <x:col min="6" max="6" width="7.78000020980835" hidden="0" customWidth="1"/>
    <x:col min="7" max="7" width="28" hidden="0" customWidth="1"/>
    <x:col min="8" max="8" width="34" hidden="0" customWidth="1"/>
    <x:col min="9" max="9" width="17.110000610351562" hidden="0" customWidth="1"/>
    <x:col min="10" max="10" width="34" hidden="0" customWidth="1"/>
  </x:cols>
  <x:sheetData>
    <x:row r="1" ht="15" hidden="0" customHeight="1">
      <x:c r="A1" s="32" t="str">
        <x:v>Item ID</x:v>
      </x:c>
      <x:c r="B1" s="32" t="str">
        <x:v>Source Side</x:v>
      </x:c>
      <x:c r="C1" s="32" t="str">
        <x:v>Transaction Date</x:v>
      </x:c>
      <x:c r="D1" s="32" t="str">
        <x:v>Description</x:v>
      </x:c>
      <x:c r="E1" s="32" t="str">
        <x:v>Reference</x:v>
      </x:c>
      <x:c r="F1" s="32" t="str">
        <x:v>Amount</x:v>
      </x:c>
      <x:c r="G1" s="32" t="str">
        <x:v>Reconciling Item Type</x:v>
      </x:c>
      <x:c r="H1" s="32" t="str">
        <x:v>Reconciliation Treatment</x:v>
      </x:c>
      <x:c r="I1" s="32" t="str">
        <x:v>Journal Entry Required</x:v>
      </x:c>
      <x:c r="J1" s="32" t="str">
        <x:v>Follow-Up</x:v>
      </x:c>
    </x:row>
    <x:row r="2" ht="15" hidden="0" customHeight="1">
      <x:c r="A2" s="33" t="str">
        <x:v>R1</x:v>
      </x:c>
      <x:c r="B2" s="33" t="str">
        <x:v>Book</x:v>
      </x:c>
      <x:c r="C2" s="67" t="n">
        <x:v>46196</x:v>
      </x:c>
      <x:c r="D2" s="33" t="str">
        <x:v>Equipment repair</x:v>
      </x:c>
      <x:c r="E2" s="33" t="str">
        <x:v>CHK-1047</x:v>
      </x:c>
      <x:c r="F2" s="46" t="n">
        <x:v>-980</x:v>
      </x:c>
      <x:c r="G2" s="34" t="str">
        <x:v>Outstanding check</x:v>
      </x:c>
      <x:c r="H2" s="34" t="str">
        <x:v>Subtract 980.00 from bank balance</x:v>
      </x:c>
      <x:c r="I2" s="34" t="str">
        <x:v>No</x:v>
      </x:c>
      <x:c r="J2" s="34" t="str">
        <x:v>Confirm check clears in next statement</x:v>
      </x:c>
    </x:row>
    <x:row r="3" ht="15" hidden="0" customHeight="1">
      <x:c r="A3" s="33" t="str">
        <x:v>R2</x:v>
      </x:c>
      <x:c r="B3" s="33" t="str">
        <x:v>Book</x:v>
      </x:c>
      <x:c r="C3" s="67" t="n">
        <x:v>46199</x:v>
      </x:c>
      <x:c r="D3" s="33" t="str">
        <x:v>Merchant fee settlement</x:v>
      </x:c>
      <x:c r="E3" s="33" t="str">
        <x:v>FEE-626</x:v>
      </x:c>
      <x:c r="F3" s="46" t="n">
        <x:v>-65</x:v>
      </x:c>
      <x:c r="G3" s="34" t="str">
        <x:v>Outstanding disbursement</x:v>
      </x:c>
      <x:c r="H3" s="34" t="str">
        <x:v>Subtract 65.00 from bank balance</x:v>
      </x:c>
      <x:c r="I3" s="34" t="str">
        <x:v>No</x:v>
      </x:c>
      <x:c r="J3" s="34" t="str">
        <x:v>Confirm settlement clears after period end</x:v>
      </x:c>
    </x:row>
    <x:row r="4" ht="15" hidden="0" customHeight="1">
      <x:c r="A4" s="33" t="str">
        <x:v>R3</x:v>
      </x:c>
      <x:c r="B4" s="33" t="str">
        <x:v>Book</x:v>
      </x:c>
      <x:c r="C4" s="67" t="n">
        <x:v>46201</x:v>
      </x:c>
      <x:c r="D4" s="33" t="str">
        <x:v>Deposit made late in day</x:v>
      </x:c>
      <x:c r="E4" s="33" t="str">
        <x:v>DEP-628</x:v>
      </x:c>
      <x:c r="F4" s="46" t="n">
        <x:v>4200</x:v>
      </x:c>
      <x:c r="G4" s="34" t="str">
        <x:v>Deposit in transit</x:v>
      </x:c>
      <x:c r="H4" s="34" t="str">
        <x:v>Add 4200.00 to bank balance</x:v>
      </x:c>
      <x:c r="I4" s="34" t="str">
        <x:v>No</x:v>
      </x:c>
      <x:c r="J4" s="34" t="str">
        <x:v>Trace deposit to next bank statement</x:v>
      </x:c>
    </x:row>
    <x:row r="5" ht="15" hidden="0" customHeight="1">
      <x:c r="A5" s="33" t="str">
        <x:v>R4</x:v>
      </x:c>
      <x:c r="B5" s="33" t="str">
        <x:v>Bank</x:v>
      </x:c>
      <x:c r="C5" s="67" t="n">
        <x:v>46198</x:v>
      </x:c>
      <x:c r="D5" s="33" t="str">
        <x:v>Bank service charge</x:v>
      </x:c>
      <x:c r="E5" s="33" t="str">
        <x:v>BNK-5010</x:v>
      </x:c>
      <x:c r="F5" s="46" t="n">
        <x:v>-25</x:v>
      </x:c>
      <x:c r="G5" s="34" t="str">
        <x:v>Bank-only service charge</x:v>
      </x:c>
      <x:c r="H5" s="34" t="str">
        <x:v>Subtract 25.00 from book balance</x:v>
      </x:c>
      <x:c r="I5" s="34" t="str">
        <x:v>Yes</x:v>
      </x:c>
      <x:c r="J5" s="34" t="str">
        <x:v>Record bank fee expense</x:v>
      </x:c>
    </x:row>
    <x:row r="6" ht="15" hidden="0" customHeight="1">
      <x:c r="A6" s="33" t="str">
        <x:v>R5</x:v>
      </x:c>
      <x:c r="B6" s="33" t="str">
        <x:v>Bank</x:v>
      </x:c>
      <x:c r="C6" s="67" t="n">
        <x:v>46200</x:v>
      </x:c>
      <x:c r="D6" s="33" t="str">
        <x:v>Interest earned</x:v>
      </x:c>
      <x:c r="E6" s="33" t="str">
        <x:v>BNK-5011</x:v>
      </x:c>
      <x:c r="F6" s="46" t="n">
        <x:v>18.5</x:v>
      </x:c>
      <x:c r="G6" s="34" t="str">
        <x:v>Bank-only interest credit</x:v>
      </x:c>
      <x:c r="H6" s="34" t="str">
        <x:v>Add 18.50 to book balance</x:v>
      </x:c>
      <x:c r="I6" s="34" t="str">
        <x:v>Yes</x:v>
      </x:c>
      <x:c r="J6" s="34" t="str">
        <x:v>Record interest income</x:v>
      </x:c>
    </x:row>
    <x:row r="7" ht="15" hidden="0" customHeight="1">
      <x:c r="A7" s="33" t="str">
        <x:v>R6</x:v>
      </x:c>
      <x:c r="B7" s="33" t="str">
        <x:v>Bank</x:v>
      </x:c>
      <x:c r="C7" s="67" t="n">
        <x:v>46203</x:v>
      </x:c>
      <x:c r="D7" s="33" t="str">
        <x:v>NSF customer payment reversed</x:v>
      </x:c>
      <x:c r="E7" s="33" t="str">
        <x:v>BNK-5012</x:v>
      </x:c>
      <x:c r="F7" s="46" t="n">
        <x:v>-600</x:v>
      </x:c>
      <x:c r="G7" s="34" t="str">
        <x:v>Bank-only NSF reversal</x:v>
      </x:c>
      <x:c r="H7" s="34" t="str">
        <x:v>Subtract 600.00 from book balance</x:v>
      </x:c>
      <x:c r="I7" s="34" t="str">
        <x:v>Yes</x:v>
      </x:c>
      <x:c r="J7" s="34" t="str">
        <x:v>Reopen receivable and contact customer</x:v>
      </x:c>
    </x:row>
  </x:sheetData>
  <x:conditionalFormatting sqref="B2:B7">
    <x:cfRule type="containsText" dxfId="5" priority="1" operator="containsText" text="Book"/>
    <x:cfRule type="containsText" dxfId="6" priority="2" operator="containsText" text="Bank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9" hidden="0" customWidth="1"/>
    <x:col min="3" max="3" width="32.560001373291016" hidden="0" customWidth="1"/>
    <x:col min="4" max="4" width="6.440000057220459" hidden="0" customWidth="1"/>
    <x:col min="5" max="5" width="6.440000057220459" hidden="0" customWidth="1"/>
    <x:col min="6" max="6" width="37.439998626708984" hidden="0" customWidth="1"/>
  </x:cols>
  <x:sheetData>
    <x:row r="1" ht="15" hidden="0" customHeight="1">
      <x:c r="A1" s="32" t="str">
        <x:v>Entry ID</x:v>
      </x:c>
      <x:c r="B1" s="32" t="str">
        <x:v>Entry Date</x:v>
      </x:c>
      <x:c r="C1" s="32" t="str">
        <x:v>Account</x:v>
      </x:c>
      <x:c r="D1" s="32" t="str">
        <x:v>Debit</x:v>
      </x:c>
      <x:c r="E1" s="32" t="str">
        <x:v>Credit</x:v>
      </x:c>
      <x:c r="F1" s="32" t="str">
        <x:v>Description</x:v>
      </x:c>
    </x:row>
    <x:row r="2" ht="15" hidden="0" customHeight="1">
      <x:c r="A2" s="33" t="str">
        <x:v>JE-1</x:v>
      </x:c>
      <x:c r="B2" s="67" t="n">
        <x:v>46198</x:v>
      </x:c>
      <x:c r="C2" s="33" t="str">
        <x:v>Bank Fee Expense</x:v>
      </x:c>
      <x:c r="D2" s="46" t="n">
        <x:v>25</x:v>
      </x:c>
      <x:c r="E2" s="46"/>
      <x:c r="F2" s="34" t="str">
        <x:v>Record bank service charge from statement review</x:v>
      </x:c>
    </x:row>
    <x:row r="3" ht="15" hidden="0" customHeight="1">
      <x:c r="A3" s="33" t="str">
        <x:v>JE-1</x:v>
      </x:c>
      <x:c r="B3" s="67" t="n">
        <x:v>46198</x:v>
      </x:c>
      <x:c r="C3" s="33" t="str">
        <x:v>Cash</x:v>
      </x:c>
      <x:c r="D3" s="46"/>
      <x:c r="E3" s="46" t="n">
        <x:v>25</x:v>
      </x:c>
      <x:c r="F3" s="34" t="str">
        <x:v>Offset bank service charge</x:v>
      </x:c>
    </x:row>
    <x:row r="4" ht="15" hidden="0" customHeight="1">
      <x:c r="A4" s="33" t="str">
        <x:v>JE-2</x:v>
      </x:c>
      <x:c r="B4" s="67" t="n">
        <x:v>46200</x:v>
      </x:c>
      <x:c r="C4" s="33" t="str">
        <x:v>Cash</x:v>
      </x:c>
      <x:c r="D4" s="46" t="n">
        <x:v>18.5</x:v>
      </x:c>
      <x:c r="E4" s="46"/>
      <x:c r="F4" s="34" t="str">
        <x:v>Record interest earned credited by bank</x:v>
      </x:c>
    </x:row>
    <x:row r="5" ht="15" hidden="0" customHeight="1">
      <x:c r="A5" s="33" t="str">
        <x:v>JE-2</x:v>
      </x:c>
      <x:c r="B5" s="67" t="n">
        <x:v>46200</x:v>
      </x:c>
      <x:c r="C5" s="33" t="str">
        <x:v>Interest Income</x:v>
      </x:c>
      <x:c r="D5" s="46"/>
      <x:c r="E5" s="46" t="n">
        <x:v>18.5</x:v>
      </x:c>
      <x:c r="F5" s="34" t="str">
        <x:v>Offset interest credit</x:v>
      </x:c>
    </x:row>
    <x:row r="6" ht="15" hidden="0" customHeight="1">
      <x:c r="A6" s="33" t="str">
        <x:v>JE-3</x:v>
      </x:c>
      <x:c r="B6" s="67" t="n">
        <x:v>46203</x:v>
      </x:c>
      <x:c r="C6" s="33" t="str">
        <x:v>Accounts Receivable - Customer Follow-Up</x:v>
      </x:c>
      <x:c r="D6" s="46" t="n">
        <x:v>600</x:v>
      </x:c>
      <x:c r="E6" s="46"/>
      <x:c r="F6" s="34" t="str">
        <x:v>Reopen receivable for NSF reversal</x:v>
      </x:c>
    </x:row>
    <x:row r="7" ht="15" hidden="0" customHeight="1">
      <x:c r="A7" s="33" t="str">
        <x:v>JE-3</x:v>
      </x:c>
      <x:c r="B7" s="67" t="n">
        <x:v>46203</x:v>
      </x:c>
      <x:c r="C7" s="33" t="str">
        <x:v>Cash</x:v>
      </x:c>
      <x:c r="D7" s="46"/>
      <x:c r="E7" s="46" t="n">
        <x:v>600</x:v>
      </x:c>
      <x:c r="F7" s="34" t="str">
        <x:v>Reverse cash for NSF item</x:v>
      </x:c>
    </x:row>
    <x:row r="8"/>
    <x:row r="9" ht="15" hidden="0" customHeight="1">
      <x:c r="A9" s="72" t="str">
        <x:v>Check</x:v>
      </x:c>
      <x:c r="B9" s="72" t="str">
        <x:v>Value</x:v>
      </x:c>
      <x:c r="C9" s="72" t="str">
        <x:v>Formula</x:v>
      </x:c>
    </x:row>
    <x:row r="10" ht="15" hidden="0" customHeight="1">
      <x:c r="A10" s="33" t="str">
        <x:v>Total debits</x:v>
      </x:c>
      <x:c r="B10" s="46" t="n">
        <x:f>SUM(D2:D7)</x:f>
        <x:v>643.5</x:v>
      </x:c>
      <x:c r="C10" s="33" t="n">
        <x:f>SUM(D2:D7)</x:f>
        <x:v>643.5</x:v>
      </x:c>
    </x:row>
    <x:row r="11" ht="15" hidden="0" customHeight="1">
      <x:c r="A11" s="33" t="str">
        <x:v>Total credits</x:v>
      </x:c>
      <x:c r="B11" s="46" t="n">
        <x:f>SUM(E2:E7)</x:f>
        <x:v>643.5</x:v>
      </x:c>
      <x:c r="C11" s="33" t="n">
        <x:f>SUM(E2:E7)</x:f>
        <x:v>643.5</x:v>
      </x:c>
    </x:row>
  </x:sheetData>
  <x:pageMargins left="0.7" right="0.7" top="0.75" bottom="0.75" header="0.3" footer="0.3"/>
</x:worksheet>
</file>